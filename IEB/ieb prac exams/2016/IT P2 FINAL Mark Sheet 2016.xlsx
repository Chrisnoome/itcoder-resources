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ac\Home\Data\Work\IEB\IEB Practical Exam 2016\"/>
    </mc:Choice>
  </mc:AlternateContent>
  <bookViews>
    <workbookView xWindow="165" yWindow="2625" windowWidth="13395" windowHeight="10845"/>
  </bookViews>
  <sheets>
    <sheet name="Candidate1" sheetId="1" r:id="rId1"/>
  </sheets>
  <externalReferences>
    <externalReference r:id="rId2"/>
  </externalReferences>
  <definedNames>
    <definedName name="base">[1]Capture!$U$1</definedName>
    <definedName name="base64">Candidate1!#REF!</definedName>
    <definedName name="OLE_LINK2" localSheetId="0">Candidate1!#REF!</definedName>
    <definedName name="_xlnm.Print_Area" localSheetId="0">Candidate1!$A$1:$H$42</definedName>
  </definedNames>
  <calcPr calcId="152511" concurrentCalc="0"/>
</workbook>
</file>

<file path=xl/calcChain.xml><?xml version="1.0" encoding="utf-8"?>
<calcChain xmlns="http://schemas.openxmlformats.org/spreadsheetml/2006/main">
  <c r="G15" i="1" l="1"/>
  <c r="H15" i="1"/>
  <c r="E4" i="1"/>
  <c r="G22" i="1"/>
  <c r="H22" i="1"/>
  <c r="G21" i="1"/>
  <c r="H21" i="1"/>
  <c r="G28" i="1"/>
  <c r="H28" i="1"/>
  <c r="G35" i="1"/>
  <c r="H35" i="1"/>
  <c r="G34" i="1"/>
  <c r="H34" i="1"/>
  <c r="G42" i="1"/>
  <c r="H42" i="1"/>
  <c r="G39" i="1"/>
  <c r="H39" i="1"/>
  <c r="G3" i="1"/>
  <c r="H3" i="1"/>
  <c r="G6" i="1"/>
  <c r="H6" i="1"/>
  <c r="H45" i="1"/>
  <c r="H46" i="1"/>
  <c r="F28" i="1"/>
  <c r="F15" i="1"/>
  <c r="F34" i="1"/>
  <c r="F21" i="1"/>
  <c r="F22" i="1"/>
  <c r="F35" i="1"/>
  <c r="F39" i="1"/>
  <c r="C5" i="1"/>
  <c r="D4" i="1"/>
  <c r="F42" i="1"/>
</calcChain>
</file>

<file path=xl/sharedStrings.xml><?xml version="1.0" encoding="utf-8"?>
<sst xmlns="http://schemas.openxmlformats.org/spreadsheetml/2006/main" count="42" uniqueCount="42">
  <si>
    <t>I.T. PRACTICAL EXAMINATION 2016</t>
  </si>
  <si>
    <t>Version:</t>
  </si>
  <si>
    <t>Prog. Lang.</t>
  </si>
  <si>
    <t>Candidate:</t>
  </si>
  <si>
    <t>Marker:</t>
  </si>
  <si>
    <t>Checksum:</t>
  </si>
  <si>
    <t>Total</t>
  </si>
  <si>
    <t>Pupil</t>
  </si>
  <si>
    <t>SQL</t>
  </si>
  <si>
    <t>Programming</t>
  </si>
  <si>
    <r>
      <t>Wedding Class:</t>
    </r>
    <r>
      <rPr>
        <sz val="11"/>
        <color theme="1"/>
        <rFont val="Calibri"/>
        <family val="2"/>
      </rPr>
      <t xml:space="preserve"> Class header is correct </t>
    </r>
    <r>
      <rPr>
        <sz val="11"/>
        <color theme="1"/>
        <rFont val="Wingdings"/>
        <charset val="2"/>
      </rPr>
      <t>ü</t>
    </r>
  </si>
  <si>
    <r>
      <t>Fields/Properties:</t>
    </r>
    <r>
      <rPr>
        <sz val="11"/>
        <color theme="1"/>
        <rFont val="Calibri"/>
        <family val="2"/>
      </rPr>
      <t xml:space="preserve"> attributes declared private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name correctly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and correct type </t>
    </r>
    <r>
      <rPr>
        <sz val="11"/>
        <color theme="1"/>
        <rFont val="Wingdings"/>
        <charset val="2"/>
      </rPr>
      <t>ü</t>
    </r>
  </si>
  <si>
    <r>
      <t>Constructor:</t>
    </r>
    <r>
      <rPr>
        <sz val="11"/>
        <color theme="1"/>
        <rFont val="Calibri"/>
        <family val="2"/>
      </rPr>
      <t xml:space="preserve"> header is correct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with correct parameters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and values assigned to correct parameters</t>
    </r>
    <r>
      <rPr>
        <sz val="11"/>
        <color theme="1"/>
        <rFont val="Wingdings"/>
        <charset val="2"/>
      </rPr>
      <t>ü</t>
    </r>
  </si>
  <si>
    <r>
      <rPr>
        <b/>
        <sz val="11"/>
        <color theme="1"/>
        <rFont val="Calibri"/>
        <family val="2"/>
      </rPr>
      <t>A</t>
    </r>
    <r>
      <rPr>
        <b/>
        <sz val="11"/>
        <color theme="1"/>
        <rFont val="Calibri"/>
        <family val="2"/>
        <scheme val="minor"/>
      </rPr>
      <t>c</t>
    </r>
    <r>
      <rPr>
        <b/>
        <sz val="11"/>
        <color theme="1"/>
        <rFont val="Calibri"/>
        <family val="2"/>
      </rPr>
      <t>cessor Methods (getWeddingDate, getVenue, getGuests):</t>
    </r>
    <r>
      <rPr>
        <sz val="11"/>
        <color theme="1"/>
        <rFont val="Calibri"/>
        <family val="2"/>
      </rPr>
      <t xml:space="preserve"> named correctly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return type is correct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and returns the correct attribute value </t>
    </r>
    <r>
      <rPr>
        <sz val="11"/>
        <color theme="1"/>
        <rFont val="Wingdings"/>
        <charset val="2"/>
      </rPr>
      <t>ü</t>
    </r>
  </si>
  <si>
    <r>
      <rPr>
        <b/>
        <sz val="11"/>
        <color theme="1"/>
        <rFont val="Calibri"/>
        <family val="2"/>
      </rPr>
      <t xml:space="preserve">VenueManager: </t>
    </r>
    <r>
      <rPr>
        <sz val="11"/>
        <color theme="1"/>
        <rFont val="Calibri"/>
        <family val="2"/>
      </rPr>
      <t xml:space="preserve">Class header is correct </t>
    </r>
    <r>
      <rPr>
        <sz val="12"/>
        <color theme="1"/>
        <rFont val="Wingdings"/>
        <charset val="2"/>
      </rPr>
      <t>ü</t>
    </r>
  </si>
  <si>
    <r>
      <t>listAllWeddings:</t>
    </r>
    <r>
      <rPr>
        <sz val="11"/>
        <color theme="1"/>
        <rFont val="Calibri"/>
        <family val="2"/>
      </rPr>
      <t xml:space="preserve"> method header correct </t>
    </r>
    <r>
      <rPr>
        <sz val="12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, appropriate for loop </t>
    </r>
    <r>
      <rPr>
        <sz val="12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, concatenate the toString </t>
    </r>
    <r>
      <rPr>
        <sz val="12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of each object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with a newline </t>
    </r>
    <r>
      <rPr>
        <sz val="12"/>
        <color theme="1"/>
        <rFont val="Wingdings"/>
        <charset val="2"/>
      </rPr>
      <t>ü</t>
    </r>
  </si>
  <si>
    <r>
      <t>processBookings:</t>
    </r>
    <r>
      <rPr>
        <sz val="11"/>
        <color theme="1"/>
        <rFont val="Calibri"/>
        <family val="2"/>
      </rPr>
      <t xml:space="preserve"> Loop through the array of BookingDay objects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
Generate each day of the month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
Allowance made for days with a single digit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
Search for lake weddings on that day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
Search garden weddings on that day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
Create a new BookingDay object at the correct position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using the date and the two wedding objects as parameters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
Return the all BookingDay objects toString's with each on a new line </t>
    </r>
    <r>
      <rPr>
        <sz val="11"/>
        <color theme="1"/>
        <rFont val="Wingdings"/>
        <charset val="2"/>
      </rPr>
      <t>ü</t>
    </r>
  </si>
  <si>
    <r>
      <t xml:space="preserve">Create an interface/form/class/unit called </t>
    </r>
    <r>
      <rPr>
        <b/>
        <sz val="11"/>
        <color theme="1"/>
        <rFont val="Calibri"/>
        <family val="2"/>
      </rPr>
      <t xml:space="preserve">WeddingUI </t>
    </r>
    <r>
      <rPr>
        <sz val="11"/>
        <color theme="1"/>
        <rFont val="Wingdings"/>
        <charset val="2"/>
      </rPr>
      <t>ü</t>
    </r>
  </si>
  <si>
    <r>
      <t xml:space="preserve">Methods called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and output displayed </t>
    </r>
    <r>
      <rPr>
        <sz val="11"/>
        <color theme="1"/>
        <rFont val="Wingdings"/>
        <charset val="2"/>
      </rPr>
      <t>ü</t>
    </r>
  </si>
  <si>
    <r>
      <t xml:space="preserve">Method called in interface and output displayed </t>
    </r>
    <r>
      <rPr>
        <sz val="12"/>
        <color theme="1"/>
        <rFont val="Wingdings"/>
        <charset val="2"/>
      </rPr>
      <t>ü</t>
    </r>
  </si>
  <si>
    <r>
      <t xml:space="preserve">SELECT Description, Price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
FROM tblItems
WHERE Price &gt;= 350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AND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Price &lt;= 500 </t>
    </r>
    <r>
      <rPr>
        <sz val="11"/>
        <color theme="1"/>
        <rFont val="Wingdings"/>
        <charset val="2"/>
      </rPr>
      <t xml:space="preserve">ü
</t>
    </r>
    <r>
      <rPr>
        <sz val="11"/>
        <color theme="1"/>
        <rFont val="Calibri"/>
        <family val="2"/>
        <scheme val="minor"/>
      </rPr>
      <t xml:space="preserve">OR: WHERE Price BETWEEN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  <scheme val="minor"/>
      </rPr>
      <t xml:space="preserve"> 350 AND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  <scheme val="minor"/>
      </rPr>
      <t xml:space="preserve"> 500 </t>
    </r>
    <r>
      <rPr>
        <sz val="11"/>
        <color theme="1"/>
        <rFont val="Wingdings"/>
        <charset val="2"/>
      </rPr>
      <t>ü</t>
    </r>
  </si>
  <si>
    <r>
      <t xml:space="preserve">SELECT Retailer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, AVG(Price)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AS AvgItemPrice
FROM tblItems
WHERE Description LIKE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'*Platter*' </t>
    </r>
    <r>
      <rPr>
        <sz val="11"/>
        <color theme="1"/>
        <rFont val="Wingdings"/>
        <charset val="2"/>
      </rPr>
      <t xml:space="preserve">ü </t>
    </r>
    <r>
      <rPr>
        <sz val="11"/>
        <color rgb="FFFF0000"/>
        <rFont val="Calibri"/>
        <family val="2"/>
        <scheme val="minor"/>
      </rPr>
      <t>(%Platter% will not work in Access. Do not award marks)</t>
    </r>
    <r>
      <rPr>
        <sz val="11"/>
        <color theme="1"/>
        <rFont val="Calibri"/>
        <family val="2"/>
      </rPr>
      <t xml:space="preserve">
GROUP BY Retailer </t>
    </r>
    <r>
      <rPr>
        <sz val="11"/>
        <color theme="1"/>
        <rFont val="Wingdings"/>
        <charset val="2"/>
      </rPr>
      <t>ü</t>
    </r>
  </si>
  <si>
    <r>
      <t xml:space="preserve">SELECT *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
FROM tblItems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
WHERE Retailer = “Home Pride” </t>
    </r>
    <r>
      <rPr>
        <sz val="11"/>
        <color theme="1"/>
        <rFont val="Wingdings"/>
        <charset val="2"/>
      </rPr>
      <t>ü</t>
    </r>
  </si>
  <si>
    <r>
      <t xml:space="preserve">SELECT BrideName &amp; " &amp; " &amp;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GroomName AS CoupleName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, MONTH(WeddingDate)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AS MonthOfWedding
FROM tblCouples
ORDER BY MONTH(WeddingDate) </t>
    </r>
    <r>
      <rPr>
        <sz val="11"/>
        <color theme="1"/>
        <rFont val="Wingdings"/>
        <charset val="2"/>
      </rPr>
      <t xml:space="preserve">ü 
</t>
    </r>
    <r>
      <rPr>
        <sz val="11"/>
        <color rgb="FFFF0000"/>
        <rFont val="Calibri"/>
        <family val="2"/>
        <scheme val="minor"/>
      </rPr>
      <t>(Accept + instead of &amp; in Access, CONCAT in MySQL and || in JavaDB)</t>
    </r>
  </si>
  <si>
    <r>
      <t xml:space="preserve">UPDATE tblGifts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SET Available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= True </t>
    </r>
    <r>
      <rPr>
        <sz val="11"/>
        <color theme="1"/>
        <rFont val="Wingdings"/>
        <charset val="2"/>
      </rPr>
      <t xml:space="preserve">ü
</t>
    </r>
    <r>
      <rPr>
        <sz val="11"/>
        <color theme="1"/>
        <rFont val="Calibri"/>
        <family val="2"/>
      </rPr>
      <t xml:space="preserve">WHERE RequestedQuantity &gt; BoughtQuantity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;
</t>
    </r>
    <r>
      <rPr>
        <sz val="11"/>
        <color rgb="FFFF0000"/>
        <rFont val="Calibri"/>
        <family val="2"/>
      </rPr>
      <t>(Alternatively: UPDATE tblGifts SET Available = RequestedQuantity &gt; BoughtQuantity)</t>
    </r>
  </si>
  <si>
    <r>
      <rPr>
        <b/>
        <sz val="11"/>
        <color theme="1"/>
        <rFont val="Calibri"/>
        <family val="2"/>
      </rPr>
      <t>toString</t>
    </r>
    <r>
      <rPr>
        <sz val="11"/>
        <color theme="1"/>
        <rFont val="Calibri"/>
        <family val="2"/>
      </rPr>
      <t xml:space="preserve">: method header correct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correct attributes returned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with the correct formatting </t>
    </r>
    <r>
      <rPr>
        <sz val="11"/>
        <color rgb="FFFF0000"/>
        <rFont val="Calibri"/>
        <family val="2"/>
      </rPr>
      <t>(&amp; need not have spaces before and after)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Wingdings"/>
        <charset val="2"/>
      </rPr>
      <t>ü</t>
    </r>
  </si>
  <si>
    <r>
      <t xml:space="preserve">getOverBooked: </t>
    </r>
    <r>
      <rPr>
        <sz val="11"/>
        <color theme="1"/>
        <rFont val="Calibri"/>
        <family val="2"/>
      </rPr>
      <t xml:space="preserve">method header correct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perform checks in two separate if statements (do not accept if...else)</t>
    </r>
    <r>
      <rPr>
        <sz val="11"/>
        <color rgb="FFFF0000"/>
        <rFont val="Wingdings"/>
        <charset val="2"/>
      </rPr>
      <t>ü</t>
    </r>
    <r>
      <rPr>
        <sz val="11"/>
        <color rgb="FFFF0000"/>
        <rFont val="Calibri"/>
        <family val="2"/>
      </rPr>
      <t xml:space="preserve"> that garden or lake properties are not null</t>
    </r>
    <r>
      <rPr>
        <sz val="11"/>
        <color rgb="FFFF0000"/>
        <rFont val="Wingdings"/>
        <charset val="2"/>
      </rPr>
      <t>ü</t>
    </r>
    <r>
      <rPr>
        <sz val="11"/>
        <color rgb="FFFF0000"/>
        <rFont val="Calibri"/>
        <family val="2"/>
      </rPr>
      <t xml:space="preserve"> check the number of guests does not exceed 160 and 130 respectively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if so, return a string stating overbooked in correct format </t>
    </r>
    <r>
      <rPr>
        <sz val="11"/>
        <color theme="1"/>
        <rFont val="Wingdings"/>
        <charset val="2"/>
      </rPr>
      <t>ü</t>
    </r>
  </si>
  <si>
    <r>
      <t xml:space="preserve">toString: </t>
    </r>
    <r>
      <rPr>
        <sz val="11"/>
        <color theme="1"/>
        <rFont val="Calibri"/>
        <family val="2"/>
      </rPr>
      <t xml:space="preserve">method header correct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check if there is a garden and lake wedding</t>
    </r>
    <r>
      <rPr>
        <sz val="11"/>
        <color rgb="FFFF0000"/>
        <rFont val="Calibri"/>
        <family val="2"/>
      </rPr>
      <t xml:space="preserve"> (deduct this mark even if already deducted in 3.4)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and return toString of respective object(s)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. Check if neither venue is booked and return appropriate message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. Return overbooking information </t>
    </r>
    <r>
      <rPr>
        <sz val="11"/>
        <color theme="1"/>
        <rFont val="Wingdings"/>
        <charset val="2"/>
      </rPr>
      <t>ü</t>
    </r>
  </si>
  <si>
    <r>
      <t xml:space="preserve">getWeddingsOnDay: </t>
    </r>
    <r>
      <rPr>
        <sz val="11"/>
        <color theme="1"/>
        <rFont val="Calibri"/>
        <family val="2"/>
      </rPr>
      <t xml:space="preserve">Method header (including parameters) correct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return null if no wedding is  found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loop through the array of objects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use the wedding objects' equals method</t>
    </r>
    <r>
      <rPr>
        <sz val="11"/>
        <color rgb="FFFF0000"/>
        <rFont val="Calibri"/>
        <family val="2"/>
      </rPr>
      <t xml:space="preserve"> (or any other method)</t>
    </r>
    <r>
      <rPr>
        <sz val="11"/>
        <color theme="1"/>
        <rFont val="Calibri"/>
        <family val="2"/>
      </rPr>
      <t xml:space="preserve"> to compare objects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return the wedding object if found </t>
    </r>
    <r>
      <rPr>
        <sz val="11"/>
        <color theme="1"/>
        <rFont val="Wingdings"/>
        <charset val="2"/>
      </rPr>
      <t>ü</t>
    </r>
  </si>
  <si>
    <r>
      <t xml:space="preserve">Instantiate a </t>
    </r>
    <r>
      <rPr>
        <b/>
        <sz val="11"/>
        <color theme="1"/>
        <rFont val="Calibri"/>
        <family val="2"/>
      </rPr>
      <t xml:space="preserve">VenueManager Object </t>
    </r>
    <r>
      <rPr>
        <sz val="11"/>
        <color theme="1"/>
        <rFont val="Wingdings"/>
        <charset val="2"/>
      </rPr>
      <t>ü</t>
    </r>
    <r>
      <rPr>
        <sz val="11"/>
        <color rgb="FFFF0000"/>
        <rFont val="Calibri"/>
        <family val="2"/>
        <scheme val="minor"/>
      </rPr>
      <t xml:space="preserve"> (Must have filename parameter, -1 if not penalised in 4.3)</t>
    </r>
  </si>
  <si>
    <r>
      <rPr>
        <b/>
        <sz val="11"/>
        <color theme="1"/>
        <rFont val="Calibri"/>
        <family val="2"/>
      </rPr>
      <t xml:space="preserve">displayCalendar: </t>
    </r>
    <r>
      <rPr>
        <sz val="11"/>
        <color theme="1"/>
        <rFont val="Calibri"/>
        <family val="2"/>
      </rPr>
      <t xml:space="preserve">
Method header is correct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
Days of the week as column headings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
Leading spaces before the 1st</t>
    </r>
    <r>
      <rPr>
        <sz val="11"/>
        <color rgb="FFFF0000"/>
        <rFont val="Calibri"/>
        <family val="2"/>
      </rPr>
      <t xml:space="preserve"> generated using a loop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
Displays all 30 days in the month</t>
    </r>
    <r>
      <rPr>
        <sz val="11"/>
        <color rgb="FFFF0000"/>
        <rFont val="Calibri"/>
        <family val="2"/>
      </rPr>
      <t xml:space="preserve"> generated using a loop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
Output aligned correctly in columns under the correct headings</t>
    </r>
    <r>
      <rPr>
        <sz val="11"/>
        <color rgb="FFFF0000"/>
        <rFont val="Calibri"/>
        <family val="2"/>
      </rPr>
      <t xml:space="preserve"> using an if statement or tabs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
New line after each Sunday</t>
    </r>
    <r>
      <rPr>
        <sz val="11"/>
        <color rgb="FFFF0000"/>
        <rFont val="Calibri"/>
        <family val="2"/>
      </rPr>
      <t xml:space="preserve"> checked using some kind of calculation within the loop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Wingdings"/>
        <charset val="2"/>
      </rPr>
      <t xml:space="preserve">üü
</t>
    </r>
    <r>
      <rPr>
        <sz val="11"/>
        <color rgb="FFFF0000"/>
        <rFont val="Calibri"/>
        <family val="2"/>
        <scheme val="minor"/>
      </rPr>
      <t>(Give maximum 2 marks for a purely hard-coded solution with 7 if statements and no loops or other if statements) (Accept any arrays or data structures that are populated using loops and if statements and then just displayed. E.g. 2D Arrays)</t>
    </r>
  </si>
  <si>
    <t>FINAL Marksheet (October 2016)</t>
  </si>
  <si>
    <t>Database Used:</t>
  </si>
  <si>
    <r>
      <rPr>
        <b/>
        <sz val="11"/>
        <color theme="1"/>
        <rFont val="Calibri"/>
        <family val="2"/>
      </rPr>
      <t>Booking</t>
    </r>
    <r>
      <rPr>
        <b/>
        <sz val="11"/>
        <color rgb="FFFF0000"/>
        <rFont val="Calibri"/>
        <family val="2"/>
      </rPr>
      <t>Day</t>
    </r>
    <r>
      <rPr>
        <b/>
        <sz val="11"/>
        <color theme="1"/>
        <rFont val="Calibri"/>
        <family val="2"/>
      </rPr>
      <t xml:space="preserve"> Class:</t>
    </r>
    <r>
      <rPr>
        <sz val="11"/>
        <color theme="1"/>
        <rFont val="Calibri"/>
        <family val="2"/>
      </rPr>
      <t xml:space="preserve"> Class header is correct </t>
    </r>
    <r>
      <rPr>
        <sz val="12"/>
        <color theme="1"/>
        <rFont val="Wingdings"/>
        <charset val="2"/>
      </rPr>
      <t>ü</t>
    </r>
  </si>
  <si>
    <r>
      <t>INSERT INTO tblGifts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(ItemID, CoupleID, RequestedQuantity, BoughtQuantity, Available) 
SELECT ItemID, 9, RequestedQuantiy, 0, True            </t>
    </r>
    <r>
      <rPr>
        <sz val="11"/>
        <color rgb="FFFF0000"/>
        <rFont val="Wingdings"/>
        <charset val="2"/>
      </rPr>
      <t>üü</t>
    </r>
    <r>
      <rPr>
        <sz val="11"/>
        <color rgb="FFFF0000"/>
        <rFont val="Calibri"/>
        <family val="2"/>
      </rPr>
      <t xml:space="preserve"> (Hard-coded values) </t>
    </r>
    <r>
      <rPr>
        <sz val="11"/>
        <color rgb="FFFF0000"/>
        <rFont val="Wingdings"/>
        <charset val="2"/>
      </rPr>
      <t>ü</t>
    </r>
    <r>
      <rPr>
        <sz val="11"/>
        <color rgb="FFFF0000"/>
        <rFont val="Calibri"/>
        <family val="2"/>
      </rPr>
      <t xml:space="preserve"> (Field names in select)</t>
    </r>
    <r>
      <rPr>
        <sz val="11"/>
        <color theme="1"/>
        <rFont val="Calibri"/>
        <family val="2"/>
      </rPr>
      <t xml:space="preserve">
FROM tblGifts                                                           
WHERE CoupleID = 2 </t>
    </r>
    <r>
      <rPr>
        <sz val="11"/>
        <color theme="1"/>
        <rFont val="Wingdings"/>
        <charset val="2"/>
      </rPr>
      <t>ü           ü</t>
    </r>
    <r>
      <rPr>
        <sz val="11"/>
        <color rgb="FFFF0000"/>
        <rFont val="Calibri"/>
        <family val="2"/>
        <scheme val="minor"/>
      </rPr>
      <t>(Only award for correct nested SELECT)</t>
    </r>
    <r>
      <rPr>
        <sz val="11"/>
        <color theme="1"/>
        <rFont val="Wingdings"/>
        <charset val="2"/>
      </rPr>
      <t xml:space="preserve">  </t>
    </r>
  </si>
  <si>
    <r>
      <t>SELECT SUM(Price)</t>
    </r>
    <r>
      <rPr>
        <sz val="11"/>
        <color rgb="FFFF0000"/>
        <rFont val="Wingdings"/>
        <charset val="2"/>
      </rPr>
      <t>ü</t>
    </r>
    <r>
      <rPr>
        <sz val="11"/>
        <color theme="1"/>
        <rFont val="Calibri"/>
        <family val="2"/>
      </rPr>
      <t xml:space="preserve"> AS TotalPrice 
FROM tblItems
WHERE ItemID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NOT IN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(SELECT ItemID FROM tblGifts) </t>
    </r>
    <r>
      <rPr>
        <sz val="11"/>
        <color theme="1"/>
        <rFont val="Wingdings"/>
        <charset val="2"/>
      </rPr>
      <t>üü</t>
    </r>
    <r>
      <rPr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Wingdings"/>
        <charset val="2"/>
      </rPr>
      <t xml:space="preserve">
</t>
    </r>
    <r>
      <rPr>
        <sz val="11"/>
        <color theme="1"/>
        <rFont val="Calibri"/>
        <family val="2"/>
        <scheme val="minor"/>
      </rPr>
      <t xml:space="preserve">SELECT SUM (Price) AS TotalPrice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  <scheme val="minor"/>
      </rPr>
      <t xml:space="preserve">
FROM tblItems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  <scheme val="minor"/>
      </rPr>
      <t xml:space="preserve"> LEFT JOIN tblGifts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  <scheme val="minor"/>
      </rPr>
      <t xml:space="preserve">ON tblItems.ItemId = tblGifts.ItemID 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  <scheme val="minor"/>
      </rPr>
      <t xml:space="preserve">
WHERE tblGifts.itemID IS NULL </t>
    </r>
    <r>
      <rPr>
        <sz val="11"/>
        <color theme="1"/>
        <rFont val="Wingdings"/>
        <charset val="2"/>
      </rPr>
      <t xml:space="preserve">ü
</t>
    </r>
    <r>
      <rPr>
        <sz val="11"/>
        <color rgb="FFFF0000"/>
        <rFont val="Calibri"/>
        <family val="2"/>
        <scheme val="minor"/>
      </rPr>
      <t>(If the join is incorrect award no marks. If the ON clause is correct then award 1 mark).</t>
    </r>
  </si>
  <si>
    <r>
      <t xml:space="preserve">SELECT BrideName, Description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, RequestedQuantity - BoughtQuantity AS QuantityAvailable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
FROM tblItems, tblGifts, tblCouples </t>
    </r>
    <r>
      <rPr>
        <sz val="11"/>
        <color theme="1"/>
        <rFont val="Wingdings"/>
        <charset val="2"/>
      </rPr>
      <t>üü</t>
    </r>
    <r>
      <rPr>
        <sz val="11"/>
        <color theme="1"/>
        <rFont val="Calibri"/>
        <family val="2"/>
      </rPr>
      <t xml:space="preserve">
WHERE tblItems.ItemID = tblGifts.ItemID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AND tblCouples.CoupleID = tblGifts.CoupleID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
AND Available = True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
ORDER BY BrideName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, RequestedQuantity - BoughtQuantity </t>
    </r>
    <r>
      <rPr>
        <sz val="11"/>
        <color theme="1"/>
        <rFont val="Wingdings"/>
        <charset val="2"/>
      </rPr>
      <t xml:space="preserve">ü
</t>
    </r>
    <r>
      <rPr>
        <sz val="11"/>
        <color rgb="FFFF0000"/>
        <rFont val="Calibri"/>
        <family val="2"/>
        <scheme val="minor"/>
      </rPr>
      <t>(Accept WHERE... RequestedQuantity &gt; BoughtQuantity instead of Available = True or any other working condition)</t>
    </r>
  </si>
  <si>
    <r>
      <t xml:space="preserve">Constructor: </t>
    </r>
    <r>
      <rPr>
        <sz val="11"/>
        <color theme="1"/>
        <rFont val="Calibri"/>
        <family val="2"/>
      </rPr>
      <t xml:space="preserve">Accepts filename as a parameter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Display error if file does not exist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Open file for reading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Loop through every line in the file (while or for loop accepted)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Read a line for the wedding information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and tokenize </t>
    </r>
    <r>
      <rPr>
        <sz val="11"/>
        <color theme="1"/>
        <rFont val="Wingdings"/>
        <charset val="2"/>
      </rPr>
      <t>üü</t>
    </r>
    <r>
      <rPr>
        <sz val="11"/>
        <color theme="1"/>
        <rFont val="Calibri"/>
        <family val="2"/>
      </rPr>
      <t xml:space="preserve">Add a new Wedding object to the array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at the correct position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called constructor with correct parameters </t>
    </r>
    <r>
      <rPr>
        <sz val="11"/>
        <color theme="1"/>
        <rFont val="Wingdings"/>
        <charset val="2"/>
      </rPr>
      <t>ü</t>
    </r>
  </si>
  <si>
    <r>
      <rPr>
        <b/>
        <sz val="11"/>
        <color theme="1"/>
        <rFont val="Calibri"/>
        <family val="2"/>
      </rPr>
      <t>equals:</t>
    </r>
    <r>
      <rPr>
        <sz val="11"/>
        <color theme="1"/>
        <rFont val="Calibri"/>
        <family val="2"/>
      </rPr>
      <t xml:space="preserve"> method header correct </t>
    </r>
    <r>
      <rPr>
        <sz val="11"/>
        <color rgb="FFFF0000"/>
        <rFont val="Calibri"/>
        <family val="2"/>
      </rPr>
      <t>(accept integer for inVenue parameter)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  <scheme val="minor"/>
      </rPr>
      <t xml:space="preserve"> weddingDate attribute compared with parameter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  <scheme val="minor"/>
      </rPr>
      <t xml:space="preserve"> and venue attribute compared with parameter </t>
    </r>
    <r>
      <rPr>
        <sz val="11"/>
        <color rgb="FFFF0000"/>
        <rFont val="Calibri"/>
        <family val="2"/>
        <scheme val="minor"/>
      </rPr>
      <t>(accept == for comparison of inVenue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  <scheme val="minor"/>
      </rPr>
      <t xml:space="preserve"> and true or false returned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(Accept any attempt to convert between integer and string with regards to inVenue parameter)</t>
    </r>
  </si>
  <si>
    <r>
      <t>Constructor: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inBDate</t>
    </r>
    <r>
      <rPr>
        <sz val="11"/>
        <color theme="1"/>
        <rFont val="Calibri"/>
        <family val="2"/>
      </rPr>
      <t xml:space="preserve"> parameter is of the correct type </t>
    </r>
    <r>
      <rPr>
        <sz val="12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garden and lake attributes are Wedding objects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inBDate</t>
    </r>
    <r>
      <rPr>
        <sz val="11"/>
        <color theme="1"/>
        <rFont val="Calibri"/>
        <family val="2"/>
      </rPr>
      <t xml:space="preserve"> assigned to correct attribute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and garden and lake assigned to correct attributes </t>
    </r>
    <r>
      <rPr>
        <sz val="11"/>
        <color theme="1"/>
        <rFont val="Wingdings"/>
        <charset val="2"/>
      </rPr>
      <t>ü</t>
    </r>
    <r>
      <rPr>
        <sz val="11"/>
        <color rgb="FFFF0000"/>
        <rFont val="Calibri"/>
        <family val="2"/>
        <scheme val="minor"/>
      </rPr>
      <t xml:space="preserve"> (Penalise for incorrect garden and lake types again)</t>
    </r>
  </si>
  <si>
    <r>
      <t>PROPERTIES:</t>
    </r>
    <r>
      <rPr>
        <sz val="11"/>
        <color theme="1"/>
        <rFont val="Calibri"/>
        <family val="2"/>
      </rPr>
      <t xml:space="preserve"> Private </t>
    </r>
    <r>
      <rPr>
        <sz val="11"/>
        <color theme="1"/>
        <rFont val="Wingdings"/>
        <charset val="2"/>
      </rPr>
      <t>ü</t>
    </r>
    <r>
      <rPr>
        <sz val="11"/>
        <color rgb="FFFF0000"/>
        <rFont val="Calibri"/>
        <family val="2"/>
      </rPr>
      <t xml:space="preserve"> (penalise again for non-private properties)</t>
    </r>
    <r>
      <rPr>
        <sz val="11"/>
        <color theme="1"/>
        <rFont val="Calibri"/>
        <family val="2"/>
      </rPr>
      <t xml:space="preserve"> array of wedding objects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and array of BookingDay objects declared correctly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and both of correct size (50 and 30 respectively) </t>
    </r>
    <r>
      <rPr>
        <sz val="11"/>
        <color theme="1"/>
        <rFont val="Wingdings"/>
        <charset val="2"/>
      </rPr>
      <t>ü</t>
    </r>
  </si>
  <si>
    <r>
      <t xml:space="preserve">Attributes: </t>
    </r>
    <r>
      <rPr>
        <sz val="11"/>
        <color theme="1"/>
        <rFont val="Calibri"/>
        <family val="2"/>
      </rPr>
      <t xml:space="preserve">bookingDate declared correctly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 xml:space="preserve"> garden and lake BOTH attributes declared as Wedding objects </t>
    </r>
    <r>
      <rPr>
        <sz val="11"/>
        <color theme="1"/>
        <rFont val="Wingdings"/>
        <charset val="2"/>
      </rPr>
      <t xml:space="preserve">üü
</t>
    </r>
    <r>
      <rPr>
        <sz val="11"/>
        <color rgb="FFFF0000"/>
        <rFont val="Calibri"/>
        <family val="2"/>
        <scheme val="minor"/>
      </rPr>
      <t>(penalise again if attributes not declared as private)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</si>
</sst>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#\-####\-####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Wingdings"/>
      <charset val="2"/>
    </font>
    <font>
      <sz val="11"/>
      <color rgb="FFFF0000"/>
      <name val="Wingdings"/>
      <charset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ont="1" applyBorder="1" applyAlignment="1">
      <alignment wrapText="1"/>
    </xf>
    <xf numFmtId="0" fontId="0" fillId="0" borderId="0" xfId="0" applyBorder="1" applyAlignment="1">
      <alignment vertical="top"/>
    </xf>
    <xf numFmtId="0" fontId="1" fillId="0" borderId="1" xfId="0" applyFont="1" applyBorder="1"/>
    <xf numFmtId="0" fontId="0" fillId="0" borderId="0" xfId="0" applyBorder="1" applyAlignment="1">
      <alignment horizontal="center" vertical="top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left"/>
    </xf>
    <xf numFmtId="0" fontId="5" fillId="0" borderId="4" xfId="0" applyFont="1" applyFill="1" applyBorder="1" applyAlignment="1">
      <alignment horizontal="right" vertical="center" wrapText="1"/>
    </xf>
    <xf numFmtId="0" fontId="0" fillId="0" borderId="5" xfId="0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0" fillId="0" borderId="0" xfId="0" applyFill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wrapText="1"/>
    </xf>
    <xf numFmtId="49" fontId="1" fillId="0" borderId="1" xfId="0" quotePrefix="1" applyNumberFormat="1" applyFont="1" applyBorder="1" applyAlignment="1" applyProtection="1">
      <alignment horizontal="left" wrapText="1"/>
      <protection locked="0"/>
    </xf>
    <xf numFmtId="49" fontId="1" fillId="0" borderId="1" xfId="0" applyNumberFormat="1" applyFont="1" applyBorder="1" applyAlignment="1" applyProtection="1">
      <alignment wrapText="1"/>
      <protection locked="0"/>
    </xf>
    <xf numFmtId="0" fontId="1" fillId="0" borderId="1" xfId="0" applyFont="1" applyBorder="1" applyAlignment="1">
      <alignment horizontal="right"/>
    </xf>
    <xf numFmtId="0" fontId="7" fillId="0" borderId="0" xfId="0" applyFont="1" applyBorder="1" applyAlignment="1">
      <alignment horizontal="left" wrapText="1"/>
    </xf>
    <xf numFmtId="0" fontId="0" fillId="0" borderId="1" xfId="0" applyFont="1" applyBorder="1" applyAlignment="1">
      <alignment vertical="top"/>
    </xf>
    <xf numFmtId="0" fontId="0" fillId="0" borderId="0" xfId="0" applyFont="1" applyBorder="1"/>
    <xf numFmtId="0" fontId="0" fillId="0" borderId="1" xfId="0" applyFont="1" applyFill="1" applyBorder="1" applyAlignment="1">
      <alignment vertical="top"/>
    </xf>
    <xf numFmtId="0" fontId="0" fillId="0" borderId="0" xfId="0" applyFont="1" applyFill="1" applyBorder="1"/>
    <xf numFmtId="0" fontId="0" fillId="0" borderId="0" xfId="0" applyFont="1" applyFill="1"/>
    <xf numFmtId="0" fontId="0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" fillId="0" borderId="4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quotePrefix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Alignment="1">
      <alignment vertical="center" wrapText="1"/>
    </xf>
    <xf numFmtId="0" fontId="5" fillId="0" borderId="7" xfId="0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6" fillId="0" borderId="6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9" fillId="0" borderId="6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6" fillId="0" borderId="6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273844</xdr:colOff>
      <xdr:row>0</xdr:row>
      <xdr:rowOff>57149</xdr:rowOff>
    </xdr:from>
    <xdr:to>
      <xdr:col>1</xdr:col>
      <xdr:colOff>2778919</xdr:colOff>
      <xdr:row>5</xdr:row>
      <xdr:rowOff>92869</xdr:rowOff>
    </xdr:to>
    <xdr:sp macro="" textlink="">
      <xdr:nvSpPr>
        <xdr:cNvPr id="3" name="TextBox 2"/>
        <xdr:cNvSpPr txBox="1"/>
      </xdr:nvSpPr>
      <xdr:spPr>
        <a:xfrm>
          <a:off x="273844" y="57149"/>
          <a:ext cx="2814638" cy="1381126"/>
        </a:xfrm>
        <a:prstGeom prst="rect">
          <a:avLst/>
        </a:prstGeom>
        <a:solidFill>
          <a:schemeClr val="lt1"/>
        </a:solidFill>
        <a:ln w="31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ZA" sz="1100" b="1" i="1">
              <a:solidFill>
                <a:schemeClr val="tx1"/>
              </a:solidFill>
            </a:rPr>
            <a:t>Place candidate's barcoded</a:t>
          </a:r>
        </a:p>
        <a:p>
          <a:pPr algn="ctr"/>
          <a:r>
            <a:rPr lang="en-ZA" sz="1100" b="1" i="1">
              <a:solidFill>
                <a:schemeClr val="tx1"/>
              </a:solidFill>
            </a:rPr>
            <a:t>sticker here.</a:t>
          </a:r>
        </a:p>
        <a:p>
          <a:pPr algn="ctr"/>
          <a:endParaRPr lang="en-ZA" sz="1100" b="1" i="1">
            <a:solidFill>
              <a:schemeClr val="tx1"/>
            </a:solidFill>
          </a:endParaRPr>
        </a:p>
        <a:p>
          <a:pPr algn="ctr"/>
          <a:r>
            <a:rPr lang="en-ZA" sz="1100" b="1" i="1">
              <a:solidFill>
                <a:schemeClr val="tx1"/>
              </a:solidFill>
            </a:rPr>
            <a:t>This sheet must be stapled</a:t>
          </a:r>
          <a:r>
            <a:rPr lang="en-ZA" sz="1100" b="1" i="1" baseline="0">
              <a:solidFill>
                <a:schemeClr val="tx1"/>
              </a:solidFill>
            </a:rPr>
            <a:t> to the front of each candidate's submission.</a:t>
          </a:r>
          <a:endParaRPr lang="en-ZA" sz="11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2790824</xdr:colOff>
      <xdr:row>14</xdr:row>
      <xdr:rowOff>247650</xdr:rowOff>
    </xdr:from>
    <xdr:to>
      <xdr:col>1</xdr:col>
      <xdr:colOff>2895599</xdr:colOff>
      <xdr:row>14</xdr:row>
      <xdr:rowOff>787401</xdr:rowOff>
    </xdr:to>
    <xdr:sp macro="" textlink="">
      <xdr:nvSpPr>
        <xdr:cNvPr id="4" name="Right Brace 3"/>
        <xdr:cNvSpPr/>
      </xdr:nvSpPr>
      <xdr:spPr>
        <a:xfrm>
          <a:off x="3105149" y="8181975"/>
          <a:ext cx="104775" cy="539751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formation%20Technology%20Paper%20II%20Mark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ture"/>
      <sheetName val="Distribution"/>
    </sheetNames>
    <sheetDataSet>
      <sheetData sheetId="0">
        <row r="1">
          <cell r="U1" t="str">
            <v>0123456789abcdefghijklmnopqrstuvwxyzABCDEFGHIJKLMNOPQRSTUVWXYZ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6"/>
  <sheetViews>
    <sheetView tabSelected="1" topLeftCell="A10" zoomScaleNormal="100" zoomScalePageLayoutView="110" workbookViewId="0">
      <selection activeCell="E15" sqref="E15"/>
    </sheetView>
  </sheetViews>
  <sheetFormatPr defaultRowHeight="15" x14ac:dyDescent="0.25"/>
  <cols>
    <col min="1" max="1" width="4.125" style="4" customWidth="1"/>
    <col min="2" max="2" width="49" style="3" customWidth="1"/>
    <col min="3" max="3" width="36.75" style="3" customWidth="1"/>
    <col min="4" max="4" width="8.625" style="2" customWidth="1"/>
    <col min="5" max="5" width="8.625" style="1" customWidth="1"/>
    <col min="6" max="6" width="5.625" style="1" hidden="1" customWidth="1"/>
    <col min="7" max="7" width="9.125" hidden="1" customWidth="1"/>
    <col min="8" max="8" width="16.875" hidden="1" customWidth="1"/>
    <col min="9" max="9" width="9" customWidth="1"/>
    <col min="12" max="12" width="10" bestFit="1" customWidth="1"/>
    <col min="14" max="14" width="10" bestFit="1" customWidth="1"/>
  </cols>
  <sheetData>
    <row r="1" spans="1:9" ht="45.75" customHeight="1" x14ac:dyDescent="0.25">
      <c r="A1" s="43" t="s">
        <v>0</v>
      </c>
      <c r="B1" s="44"/>
      <c r="C1" s="44"/>
      <c r="D1" s="44"/>
      <c r="E1" s="11"/>
      <c r="F1" s="9"/>
    </row>
    <row r="2" spans="1:9" ht="15" customHeight="1" x14ac:dyDescent="0.25">
      <c r="A2" s="12"/>
      <c r="B2" s="32" t="s">
        <v>1</v>
      </c>
      <c r="C2" s="17" t="s">
        <v>31</v>
      </c>
      <c r="D2" s="39" t="s">
        <v>2</v>
      </c>
      <c r="E2" s="40"/>
      <c r="F2" s="8"/>
    </row>
    <row r="3" spans="1:9" ht="15" customHeight="1" x14ac:dyDescent="0.25">
      <c r="A3" s="12"/>
      <c r="B3" s="32" t="s">
        <v>3</v>
      </c>
      <c r="C3" s="18"/>
      <c r="D3" s="41"/>
      <c r="E3" s="41"/>
      <c r="F3" s="7">
        <v>3</v>
      </c>
      <c r="G3">
        <f>IF(LEFT(D3,1)="j",1,IF(LEFT(D3,1)="d",2,0))</f>
        <v>0</v>
      </c>
      <c r="H3">
        <f>G3</f>
        <v>0</v>
      </c>
      <c r="I3" s="7"/>
    </row>
    <row r="4" spans="1:9" ht="15" customHeight="1" x14ac:dyDescent="0.25">
      <c r="A4" s="12"/>
      <c r="B4" s="32" t="s">
        <v>4</v>
      </c>
      <c r="C4" s="19"/>
      <c r="D4" s="5">
        <f>D8+D9+D10+D11+D12+D13+D14+D15+D17+D18+D19+D20++D21+D22+D25+D24+D26+D27+D28+D30+D31+D32+D33+D34+D35+D37+D38+D39+D41+D42</f>
        <v>120</v>
      </c>
      <c r="E4" s="5">
        <f>SUM(E8:E42)</f>
        <v>0</v>
      </c>
      <c r="F4" s="2"/>
    </row>
    <row r="5" spans="1:9" x14ac:dyDescent="0.25">
      <c r="A5" s="12"/>
      <c r="B5" s="33" t="s">
        <v>5</v>
      </c>
      <c r="C5" s="10" t="str">
        <f>H46</f>
        <v>00-0000-0000-0120</v>
      </c>
      <c r="D5" s="20" t="s">
        <v>6</v>
      </c>
      <c r="E5" s="20" t="s">
        <v>7</v>
      </c>
      <c r="F5" s="7"/>
    </row>
    <row r="6" spans="1:9" x14ac:dyDescent="0.25">
      <c r="A6" s="30"/>
      <c r="B6" s="34"/>
      <c r="C6" s="31" t="s">
        <v>32</v>
      </c>
      <c r="D6" s="41"/>
      <c r="E6" s="41"/>
      <c r="F6" s="7">
        <v>6</v>
      </c>
      <c r="G6">
        <f>IF(LEFT(D6,2)="MS",1,IF(LEFT(D6,2)="My",2,IF(LEFT(D6,2)="Ja",3,IF(LEFT(D6,2)="Qu",4,IF(LEFT(D6,2)="Ot",5,0)))))</f>
        <v>0</v>
      </c>
      <c r="H6">
        <f>G6*PRODUCT($F$3:F5)</f>
        <v>0</v>
      </c>
    </row>
    <row r="7" spans="1:9" x14ac:dyDescent="0.25">
      <c r="A7" s="45" t="s">
        <v>8</v>
      </c>
      <c r="B7" s="45"/>
      <c r="C7" s="45"/>
      <c r="D7" s="45"/>
      <c r="E7" s="46"/>
      <c r="F7" s="21"/>
      <c r="G7" s="14"/>
      <c r="H7" s="14"/>
    </row>
    <row r="8" spans="1:9" ht="47.45" customHeight="1" x14ac:dyDescent="0.25">
      <c r="A8" s="22">
        <v>1.1000000000000001</v>
      </c>
      <c r="B8" s="47" t="s">
        <v>22</v>
      </c>
      <c r="C8" s="48"/>
      <c r="D8" s="35">
        <v>3</v>
      </c>
      <c r="E8" s="37"/>
      <c r="F8" s="23"/>
      <c r="G8" s="14"/>
      <c r="H8" s="14"/>
    </row>
    <row r="9" spans="1:9" ht="60.75" customHeight="1" x14ac:dyDescent="0.25">
      <c r="A9" s="22">
        <v>1.2</v>
      </c>
      <c r="B9" s="42" t="s">
        <v>20</v>
      </c>
      <c r="C9" s="42"/>
      <c r="D9" s="35">
        <v>4</v>
      </c>
      <c r="E9" s="37"/>
      <c r="F9" s="23"/>
      <c r="G9" s="14"/>
      <c r="H9" s="14"/>
    </row>
    <row r="10" spans="1:9" ht="59.25" customHeight="1" x14ac:dyDescent="0.25">
      <c r="A10" s="22">
        <v>1.3</v>
      </c>
      <c r="B10" s="42" t="s">
        <v>23</v>
      </c>
      <c r="C10" s="42"/>
      <c r="D10" s="35">
        <v>4</v>
      </c>
      <c r="E10" s="37"/>
      <c r="F10" s="23"/>
      <c r="G10" s="14"/>
      <c r="H10" s="14"/>
    </row>
    <row r="11" spans="1:9" ht="48" customHeight="1" x14ac:dyDescent="0.25">
      <c r="A11" s="22">
        <v>1.4</v>
      </c>
      <c r="B11" s="42" t="s">
        <v>24</v>
      </c>
      <c r="C11" s="42"/>
      <c r="D11" s="35">
        <v>4</v>
      </c>
      <c r="E11" s="37"/>
      <c r="F11" s="23"/>
      <c r="G11" s="14"/>
      <c r="H11" s="14"/>
    </row>
    <row r="12" spans="1:9" s="15" customFormat="1" ht="62.25" customHeight="1" x14ac:dyDescent="0.25">
      <c r="A12" s="24">
        <v>1.5</v>
      </c>
      <c r="B12" s="50" t="s">
        <v>21</v>
      </c>
      <c r="C12" s="50"/>
      <c r="D12" s="36">
        <v>5</v>
      </c>
      <c r="E12" s="37"/>
      <c r="F12" s="25"/>
      <c r="G12" s="26"/>
      <c r="H12" s="26"/>
    </row>
    <row r="13" spans="1:9" ht="108.75" customHeight="1" x14ac:dyDescent="0.25">
      <c r="A13" s="22">
        <v>1.6</v>
      </c>
      <c r="B13" s="42" t="s">
        <v>35</v>
      </c>
      <c r="C13" s="42"/>
      <c r="D13" s="35">
        <v>5</v>
      </c>
      <c r="E13" s="37"/>
      <c r="F13" s="23"/>
      <c r="G13" s="14"/>
      <c r="H13" s="14"/>
    </row>
    <row r="14" spans="1:9" ht="102.75" customHeight="1" x14ac:dyDescent="0.25">
      <c r="A14" s="22">
        <v>1.7</v>
      </c>
      <c r="B14" s="42" t="s">
        <v>36</v>
      </c>
      <c r="C14" s="42"/>
      <c r="D14" s="35">
        <v>9</v>
      </c>
      <c r="E14" s="37"/>
      <c r="F14" s="23"/>
      <c r="G14" s="14"/>
      <c r="H14" s="14"/>
    </row>
    <row r="15" spans="1:9" ht="64.5" customHeight="1" x14ac:dyDescent="0.25">
      <c r="A15" s="22">
        <v>1.8</v>
      </c>
      <c r="B15" s="42" t="s">
        <v>34</v>
      </c>
      <c r="C15" s="42"/>
      <c r="D15" s="35">
        <v>6</v>
      </c>
      <c r="E15" s="37"/>
      <c r="F15" s="23">
        <f>SUM(D8:D15)+1</f>
        <v>41</v>
      </c>
      <c r="G15" s="14">
        <f>SUM(E8:E15)</f>
        <v>0</v>
      </c>
      <c r="H15" s="14">
        <f>G15*PRODUCT(F$3:F14)</f>
        <v>0</v>
      </c>
    </row>
    <row r="16" spans="1:9" ht="15" customHeight="1" x14ac:dyDescent="0.25">
      <c r="A16" s="45" t="s">
        <v>9</v>
      </c>
      <c r="B16" s="45"/>
      <c r="C16" s="45"/>
      <c r="D16" s="45"/>
      <c r="E16" s="46"/>
      <c r="F16" s="13"/>
      <c r="G16" s="14"/>
      <c r="H16" s="14"/>
    </row>
    <row r="17" spans="1:16" s="16" customFormat="1" ht="15" customHeight="1" x14ac:dyDescent="0.25">
      <c r="A17" s="27">
        <v>2.1</v>
      </c>
      <c r="B17" s="53" t="s">
        <v>10</v>
      </c>
      <c r="C17" s="53"/>
      <c r="D17" s="35">
        <v>1</v>
      </c>
      <c r="E17" s="37"/>
      <c r="F17" s="28"/>
      <c r="G17" s="28"/>
      <c r="H17" s="28"/>
    </row>
    <row r="18" spans="1:16" ht="15.95" customHeight="1" x14ac:dyDescent="0.25">
      <c r="A18" s="22">
        <v>2.2000000000000002</v>
      </c>
      <c r="B18" s="51" t="s">
        <v>11</v>
      </c>
      <c r="C18" s="55"/>
      <c r="D18" s="35">
        <v>3</v>
      </c>
      <c r="E18" s="37"/>
      <c r="F18" s="23"/>
      <c r="G18" s="14"/>
      <c r="H18" s="14"/>
    </row>
    <row r="19" spans="1:16" ht="16.5" customHeight="1" x14ac:dyDescent="0.25">
      <c r="A19" s="22">
        <v>2.2999999999999998</v>
      </c>
      <c r="B19" s="51" t="s">
        <v>12</v>
      </c>
      <c r="C19" s="55"/>
      <c r="D19" s="35">
        <v>3</v>
      </c>
      <c r="E19" s="37"/>
      <c r="F19" s="23"/>
      <c r="G19" s="14"/>
      <c r="H19" s="14"/>
    </row>
    <row r="20" spans="1:16" ht="30" customHeight="1" x14ac:dyDescent="0.25">
      <c r="A20" s="22">
        <v>2.4</v>
      </c>
      <c r="B20" s="61" t="s">
        <v>13</v>
      </c>
      <c r="C20" s="61"/>
      <c r="D20" s="35">
        <v>3</v>
      </c>
      <c r="E20" s="37"/>
      <c r="F20" s="23"/>
      <c r="G20" s="14"/>
      <c r="H20" s="14"/>
    </row>
    <row r="21" spans="1:16" ht="49.5" customHeight="1" x14ac:dyDescent="0.25">
      <c r="A21" s="22">
        <v>2.5</v>
      </c>
      <c r="B21" s="60" t="s">
        <v>38</v>
      </c>
      <c r="C21" s="52"/>
      <c r="D21" s="35">
        <v>4</v>
      </c>
      <c r="E21" s="37"/>
      <c r="F21" s="23">
        <f>D21+1</f>
        <v>5</v>
      </c>
      <c r="G21" s="14">
        <f>E21</f>
        <v>0</v>
      </c>
      <c r="H21" s="14">
        <f>G21*PRODUCT(F$3:F20)</f>
        <v>0</v>
      </c>
    </row>
    <row r="22" spans="1:16" ht="30.75" customHeight="1" x14ac:dyDescent="0.25">
      <c r="A22" s="22">
        <v>2.6</v>
      </c>
      <c r="B22" s="61" t="s">
        <v>25</v>
      </c>
      <c r="C22" s="61"/>
      <c r="D22" s="35">
        <v>3</v>
      </c>
      <c r="E22" s="37"/>
      <c r="F22" s="23">
        <f>SUM(D17:D22)+1</f>
        <v>18</v>
      </c>
      <c r="G22" s="14">
        <f>SUM(E17:E22)</f>
        <v>0</v>
      </c>
      <c r="H22" s="14">
        <f>G22*PRODUCT(F$3:F21)</f>
        <v>0</v>
      </c>
    </row>
    <row r="23" spans="1:16" ht="15" customHeight="1" x14ac:dyDescent="0.25">
      <c r="A23" s="63"/>
      <c r="B23" s="64"/>
      <c r="C23" s="64"/>
      <c r="D23" s="64"/>
      <c r="E23" s="65"/>
      <c r="F23" s="6"/>
    </row>
    <row r="24" spans="1:16" ht="15" customHeight="1" x14ac:dyDescent="0.25">
      <c r="A24" s="22">
        <v>3.1</v>
      </c>
      <c r="B24" s="62" t="s">
        <v>33</v>
      </c>
      <c r="C24" s="62"/>
      <c r="D24" s="35">
        <v>1</v>
      </c>
      <c r="E24" s="38"/>
    </row>
    <row r="25" spans="1:16" ht="30.75" customHeight="1" x14ac:dyDescent="0.25">
      <c r="A25" s="22">
        <v>3.2</v>
      </c>
      <c r="B25" s="51" t="s">
        <v>41</v>
      </c>
      <c r="C25" s="52"/>
      <c r="D25" s="35">
        <v>3</v>
      </c>
      <c r="E25" s="38"/>
    </row>
    <row r="26" spans="1:16" ht="46.5" customHeight="1" x14ac:dyDescent="0.25">
      <c r="A26" s="22">
        <v>3.3</v>
      </c>
      <c r="B26" s="53" t="s">
        <v>39</v>
      </c>
      <c r="C26" s="53"/>
      <c r="D26" s="35">
        <v>4</v>
      </c>
      <c r="E26" s="38"/>
      <c r="O26" s="59"/>
      <c r="P26" s="59"/>
    </row>
    <row r="27" spans="1:16" ht="49.5" customHeight="1" x14ac:dyDescent="0.25">
      <c r="A27" s="22">
        <v>3.4</v>
      </c>
      <c r="B27" s="53" t="s">
        <v>26</v>
      </c>
      <c r="C27" s="53"/>
      <c r="D27" s="35">
        <v>5</v>
      </c>
      <c r="E27" s="38"/>
    </row>
    <row r="28" spans="1:16" ht="45.75" customHeight="1" x14ac:dyDescent="0.25">
      <c r="A28" s="22">
        <v>3.5</v>
      </c>
      <c r="B28" s="53" t="s">
        <v>27</v>
      </c>
      <c r="C28" s="53"/>
      <c r="D28" s="35">
        <v>5</v>
      </c>
      <c r="E28" s="38"/>
      <c r="F28" s="23">
        <f>SUM(D24:D28)+1</f>
        <v>19</v>
      </c>
      <c r="G28" s="14">
        <f>SUM(E24:E28)</f>
        <v>0</v>
      </c>
      <c r="H28" s="14">
        <f>G28*PRODUCT(F$3:F27)</f>
        <v>0</v>
      </c>
    </row>
    <row r="29" spans="1:16" ht="15" customHeight="1" x14ac:dyDescent="0.25">
      <c r="A29" s="56"/>
      <c r="B29" s="56"/>
      <c r="C29" s="56"/>
      <c r="D29" s="56"/>
      <c r="E29" s="56"/>
      <c r="F29" s="6"/>
    </row>
    <row r="30" spans="1:16" ht="15" customHeight="1" x14ac:dyDescent="0.25">
      <c r="A30" s="22">
        <v>4.0999999999999996</v>
      </c>
      <c r="B30" s="42" t="s">
        <v>14</v>
      </c>
      <c r="C30" s="42"/>
      <c r="D30" s="35">
        <v>1</v>
      </c>
      <c r="E30" s="38"/>
    </row>
    <row r="31" spans="1:16" ht="32.25" customHeight="1" x14ac:dyDescent="0.25">
      <c r="A31" s="22">
        <v>4.2</v>
      </c>
      <c r="B31" s="54" t="s">
        <v>40</v>
      </c>
      <c r="C31" s="54"/>
      <c r="D31" s="35">
        <v>4</v>
      </c>
      <c r="E31" s="38"/>
    </row>
    <row r="32" spans="1:16" ht="59.25" customHeight="1" x14ac:dyDescent="0.25">
      <c r="A32" s="22">
        <v>4.3</v>
      </c>
      <c r="B32" s="54" t="s">
        <v>37</v>
      </c>
      <c r="C32" s="54"/>
      <c r="D32" s="35">
        <v>10</v>
      </c>
      <c r="E32" s="38"/>
    </row>
    <row r="33" spans="1:9" ht="30.75" customHeight="1" x14ac:dyDescent="0.25">
      <c r="A33" s="22">
        <v>4.4000000000000004</v>
      </c>
      <c r="B33" s="53" t="s">
        <v>15</v>
      </c>
      <c r="C33" s="53"/>
      <c r="D33" s="35">
        <v>5</v>
      </c>
      <c r="E33" s="38"/>
    </row>
    <row r="34" spans="1:9" s="15" customFormat="1" ht="49.5" customHeight="1" x14ac:dyDescent="0.25">
      <c r="A34" s="24">
        <v>4.5</v>
      </c>
      <c r="B34" s="49" t="s">
        <v>28</v>
      </c>
      <c r="C34" s="49"/>
      <c r="D34" s="36">
        <v>5</v>
      </c>
      <c r="E34" s="38"/>
      <c r="F34" s="23">
        <f>D35+1</f>
        <v>9</v>
      </c>
      <c r="G34" s="14">
        <f>E35</f>
        <v>0</v>
      </c>
      <c r="H34" s="14">
        <f>G34*PRODUCT(F$3:F33)</f>
        <v>0</v>
      </c>
      <c r="I34"/>
    </row>
    <row r="35" spans="1:9" s="15" customFormat="1" ht="119.25" customHeight="1" x14ac:dyDescent="0.25">
      <c r="A35" s="24">
        <v>4.5999999999999996</v>
      </c>
      <c r="B35" s="49" t="s">
        <v>16</v>
      </c>
      <c r="C35" s="49"/>
      <c r="D35" s="36">
        <v>8</v>
      </c>
      <c r="E35" s="38"/>
      <c r="F35" s="1">
        <f>SUM(D30:D35)+1</f>
        <v>34</v>
      </c>
      <c r="G35">
        <f>SUM(E30:E35)</f>
        <v>0</v>
      </c>
      <c r="H35">
        <f>G35*PRODUCT(F$3:F34)</f>
        <v>0</v>
      </c>
    </row>
    <row r="36" spans="1:9" ht="15" customHeight="1" x14ac:dyDescent="0.25">
      <c r="A36" s="56"/>
      <c r="B36" s="56"/>
      <c r="C36" s="56"/>
      <c r="D36" s="56"/>
      <c r="E36" s="56"/>
      <c r="F36" s="6"/>
    </row>
    <row r="37" spans="1:9" ht="15" customHeight="1" x14ac:dyDescent="0.25">
      <c r="A37" s="22">
        <v>5.0999999999999996</v>
      </c>
      <c r="B37" s="42" t="s">
        <v>17</v>
      </c>
      <c r="C37" s="42"/>
      <c r="D37" s="35">
        <v>1</v>
      </c>
      <c r="E37" s="38"/>
    </row>
    <row r="38" spans="1:9" ht="17.25" customHeight="1" x14ac:dyDescent="0.25">
      <c r="A38" s="22">
        <v>5.2</v>
      </c>
      <c r="B38" s="57" t="s">
        <v>29</v>
      </c>
      <c r="C38" s="58"/>
      <c r="D38" s="35">
        <v>1</v>
      </c>
      <c r="E38" s="38"/>
    </row>
    <row r="39" spans="1:9" ht="15" customHeight="1" x14ac:dyDescent="0.25">
      <c r="A39" s="22">
        <v>5.3</v>
      </c>
      <c r="B39" s="42" t="s">
        <v>18</v>
      </c>
      <c r="C39" s="42"/>
      <c r="D39" s="35">
        <v>2</v>
      </c>
      <c r="E39" s="38"/>
      <c r="F39" s="1">
        <f>SUM(D37:D39)+1</f>
        <v>5</v>
      </c>
      <c r="G39">
        <f>SUM(E37:E39)</f>
        <v>0</v>
      </c>
      <c r="H39">
        <f>G39*PRODUCT(F$3:F38)</f>
        <v>0</v>
      </c>
    </row>
    <row r="40" spans="1:9" ht="15" customHeight="1" x14ac:dyDescent="0.25">
      <c r="A40" s="56"/>
      <c r="B40" s="56"/>
      <c r="C40" s="56"/>
      <c r="D40" s="56"/>
      <c r="E40" s="56"/>
      <c r="F40" s="6"/>
    </row>
    <row r="41" spans="1:9" ht="149.25" customHeight="1" x14ac:dyDescent="0.25">
      <c r="A41" s="22">
        <v>6.1</v>
      </c>
      <c r="B41" s="42" t="s">
        <v>30</v>
      </c>
      <c r="C41" s="42"/>
      <c r="D41" s="35">
        <v>7</v>
      </c>
      <c r="E41" s="38"/>
    </row>
    <row r="42" spans="1:9" ht="15" customHeight="1" x14ac:dyDescent="0.25">
      <c r="A42" s="29">
        <v>6.2</v>
      </c>
      <c r="B42" s="42" t="s">
        <v>19</v>
      </c>
      <c r="C42" s="42"/>
      <c r="D42" s="35">
        <v>1</v>
      </c>
      <c r="E42" s="38"/>
      <c r="F42" s="1">
        <f>SUM(D41:D42)+1</f>
        <v>9</v>
      </c>
      <c r="G42">
        <f>SUM(E41:E42)</f>
        <v>0</v>
      </c>
      <c r="H42">
        <f>G42*PRODUCT(F$3:F41)</f>
        <v>0</v>
      </c>
    </row>
    <row r="45" spans="1:9" x14ac:dyDescent="0.25">
      <c r="H45" t="str">
        <f>RIGHT(REPT("0",14)&amp;SUM(H3:H42)&amp;RIGHT(REPT("0",3)&amp;(120-E4),3),14)</f>
        <v>00000000000120</v>
      </c>
    </row>
    <row r="46" spans="1:9" x14ac:dyDescent="0.25">
      <c r="H46" t="str">
        <f>MID(H45,1,2)&amp;"-"&amp;MID(H45,3,4)&amp;"-"&amp;MID(H45,7,4)&amp;"-"&amp;MID(H45,11,4)</f>
        <v>00-0000-0000-0120</v>
      </c>
    </row>
  </sheetData>
  <sheetProtection algorithmName="SHA-512" hashValue="lHrCTWeSxW3hyjrds/6OweszuH0oIstcn1xo0m+eeByEAs7Zlt5DjkArIt9otNRDDMgDgiqy/YxdsPY6QrYPng==" saltValue="d9YKd+dAO1OWaLJ00sEYqw==" spinCount="100000" sheet="1" objects="1" scenarios="1" selectLockedCells="1"/>
  <mergeCells count="41">
    <mergeCell ref="O26:P26"/>
    <mergeCell ref="A29:E29"/>
    <mergeCell ref="B19:C19"/>
    <mergeCell ref="B21:C21"/>
    <mergeCell ref="B22:C22"/>
    <mergeCell ref="B20:C20"/>
    <mergeCell ref="B24:C24"/>
    <mergeCell ref="A23:E23"/>
    <mergeCell ref="B42:C42"/>
    <mergeCell ref="B41:C41"/>
    <mergeCell ref="A40:E40"/>
    <mergeCell ref="B37:C37"/>
    <mergeCell ref="B32:C32"/>
    <mergeCell ref="B39:C39"/>
    <mergeCell ref="B33:C33"/>
    <mergeCell ref="B38:C38"/>
    <mergeCell ref="B34:C34"/>
    <mergeCell ref="A36:E36"/>
    <mergeCell ref="B30:C30"/>
    <mergeCell ref="B35:C35"/>
    <mergeCell ref="B12:C12"/>
    <mergeCell ref="B25:C25"/>
    <mergeCell ref="B13:C13"/>
    <mergeCell ref="B27:C27"/>
    <mergeCell ref="B31:C31"/>
    <mergeCell ref="B17:C17"/>
    <mergeCell ref="B18:C18"/>
    <mergeCell ref="B26:C26"/>
    <mergeCell ref="B28:C28"/>
    <mergeCell ref="B14:C14"/>
    <mergeCell ref="A16:E16"/>
    <mergeCell ref="D2:E2"/>
    <mergeCell ref="D3:E3"/>
    <mergeCell ref="B11:C11"/>
    <mergeCell ref="B15:C15"/>
    <mergeCell ref="A1:D1"/>
    <mergeCell ref="A7:E7"/>
    <mergeCell ref="B8:C8"/>
    <mergeCell ref="B9:C9"/>
    <mergeCell ref="B10:C10"/>
    <mergeCell ref="D6:E6"/>
  </mergeCells>
  <conditionalFormatting sqref="F42:H42">
    <cfRule type="cellIs" dxfId="4" priority="9" operator="equal">
      <formula>""</formula>
    </cfRule>
  </conditionalFormatting>
  <conditionalFormatting sqref="C3:C4 D3:E3 E8:E15 E17:E22 E30:E33 E35 E37:E39 E41 E24:E28">
    <cfRule type="cellIs" dxfId="3" priority="4" operator="equal">
      <formula>""</formula>
    </cfRule>
  </conditionalFormatting>
  <conditionalFormatting sqref="E34">
    <cfRule type="cellIs" dxfId="2" priority="3" operator="equal">
      <formula>""</formula>
    </cfRule>
  </conditionalFormatting>
  <conditionalFormatting sqref="E42">
    <cfRule type="cellIs" dxfId="1" priority="2" operator="equal">
      <formula>""</formula>
    </cfRule>
  </conditionalFormatting>
  <conditionalFormatting sqref="D6:E6">
    <cfRule type="cellIs" dxfId="0" priority="1" operator="equal">
      <formula>""</formula>
    </cfRule>
  </conditionalFormatting>
  <dataValidations count="3">
    <dataValidation type="list" allowBlank="1" showInputMessage="1" showErrorMessage="1" sqref="D3:E3">
      <formula1>"Java,Delphi"</formula1>
    </dataValidation>
    <dataValidation type="whole" allowBlank="1" showInputMessage="1" showErrorMessage="1" errorTitle="Invalid Input" error="You have entered a value less than zero or greater than the total number of marks for this question" sqref="E17:E22 E30:E35 E37:E39 E41:E42 E8:E15 E24:E28">
      <formula1>0</formula1>
      <formula2>D8</formula2>
    </dataValidation>
    <dataValidation type="list" allowBlank="1" showInputMessage="1" showErrorMessage="1" sqref="D6:E6">
      <formula1>"MS Access, MySQL, JavaDB, Query Tool, Other"</formula1>
    </dataValidation>
  </dataValidations>
  <pageMargins left="0.51181102362204722" right="0.23622047244094491" top="0.59055118110236227" bottom="0.74803149606299213" header="0.27559055118110237" footer="0.31496062992125984"/>
  <pageSetup paperSize="9" scale="86" fitToHeight="2" orientation="portrait" r:id="rId1"/>
  <headerFooter>
    <oddHeader>&amp;L&amp;"Times New Roman,Regular"&amp;8NATIONAL SENIOR CERTIFICATE: INFORMATION TECHNOLOGY: PRACTICAL EXAMINATION – MARK SHEET&amp;"-,Regular"
&amp;R&amp;"Times New Roman,Regular"&amp;10Page &amp;P of 2</oddHeader>
    <oddFooter>&amp;L&amp;"Times New Roman,Regular"&amp;8IEB Copyright © 2016</oddFooter>
  </headerFooter>
  <rowBreaks count="1" manualBreakCount="1">
    <brk id="23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Candidate1</vt:lpstr>
      <vt:lpstr>Candidate1!Print_Area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PhiNor</dc:creator>
  <cp:lastModifiedBy>domgru</cp:lastModifiedBy>
  <cp:lastPrinted>2016-10-26T09:59:07Z</cp:lastPrinted>
  <dcterms:created xsi:type="dcterms:W3CDTF">2012-01-29T14:32:36Z</dcterms:created>
  <dcterms:modified xsi:type="dcterms:W3CDTF">2016-10-26T09:59:45Z</dcterms:modified>
</cp:coreProperties>
</file>