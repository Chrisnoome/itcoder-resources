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esktop\Memo Discussion\FINAL\"/>
    </mc:Choice>
  </mc:AlternateContent>
  <bookViews>
    <workbookView xWindow="0" yWindow="2880" windowWidth="15330" windowHeight="7725"/>
  </bookViews>
  <sheets>
    <sheet name="Candidate1" sheetId="1" r:id="rId1"/>
  </sheets>
  <externalReferences>
    <externalReference r:id="rId2"/>
  </externalReferences>
  <definedNames>
    <definedName name="base">[1]Capture!$U$1</definedName>
    <definedName name="base64">Candidate1!#REF!</definedName>
    <definedName name="OLE_LINK2" localSheetId="0">Candidate1!#REF!</definedName>
    <definedName name="_xlnm.Print_Area" localSheetId="0">Candidate1!$A$1:$H$46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3" i="1" l="1"/>
  <c r="G43" i="1"/>
  <c r="F43" i="1"/>
  <c r="H34" i="1"/>
  <c r="F34" i="1"/>
  <c r="G34" i="1"/>
  <c r="G21" i="1"/>
  <c r="H21" i="1"/>
  <c r="F21" i="1"/>
  <c r="F15" i="1"/>
  <c r="D4" i="1"/>
  <c r="G15" i="1"/>
  <c r="H15" i="1"/>
  <c r="E4" i="1"/>
  <c r="G29" i="1"/>
  <c r="G46" i="1"/>
  <c r="G38" i="1"/>
  <c r="G3" i="1"/>
  <c r="H3" i="1"/>
  <c r="G6" i="1"/>
  <c r="H6" i="1"/>
  <c r="F29" i="1"/>
  <c r="F38" i="1"/>
  <c r="F46" i="1"/>
  <c r="H38" i="1"/>
  <c r="H29" i="1"/>
  <c r="H46" i="1"/>
  <c r="H49" i="1"/>
  <c r="H50" i="1"/>
  <c r="C5" i="1"/>
</calcChain>
</file>

<file path=xl/sharedStrings.xml><?xml version="1.0" encoding="utf-8"?>
<sst xmlns="http://schemas.openxmlformats.org/spreadsheetml/2006/main" count="45" uniqueCount="45">
  <si>
    <t>Version:</t>
  </si>
  <si>
    <t>Prog. Lang.</t>
  </si>
  <si>
    <t>Candidate:</t>
  </si>
  <si>
    <t>Marker:</t>
  </si>
  <si>
    <t>Checksum:</t>
  </si>
  <si>
    <t>Total</t>
  </si>
  <si>
    <t>Pupil</t>
  </si>
  <si>
    <t>SQL</t>
  </si>
  <si>
    <t>Programming</t>
  </si>
  <si>
    <t>Database Used:</t>
  </si>
  <si>
    <t>I.T. PRACTICAL EXAMINATION 2017</t>
  </si>
  <si>
    <r>
      <t>SELECT *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
FROM tblProfiles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
ORDER BY DailyPostRate DESC </t>
    </r>
    <r>
      <rPr>
        <sz val="11"/>
        <color rgb="FFFF0000"/>
        <rFont val="Wingdings"/>
        <charset val="2"/>
      </rPr>
      <t></t>
    </r>
  </si>
  <si>
    <r>
      <t xml:space="preserve">UPDATE tblGroups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SET Icon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= LEFT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(Icon, LEN(Icon) – 5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) &amp; ".jpg"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
WHERE RIGHT(Icon, 4) = "jpeg"; </t>
    </r>
    <r>
      <rPr>
        <sz val="11"/>
        <color rgb="FFFF0000"/>
        <rFont val="Wingdings"/>
        <charset val="2"/>
      </rPr>
      <t></t>
    </r>
  </si>
  <si>
    <r>
      <t>Post Class:</t>
    </r>
    <r>
      <rPr>
        <sz val="11"/>
        <color rgb="FF000000"/>
        <rFont val="Calibri"/>
        <family val="2"/>
      </rPr>
      <t xml:space="preserve"> Class header is correct </t>
    </r>
    <r>
      <rPr>
        <sz val="11"/>
        <color rgb="FFFF0000"/>
        <rFont val="Wingdings"/>
        <charset val="2"/>
      </rPr>
      <t>ü</t>
    </r>
  </si>
  <si>
    <r>
      <t>Fields/Properties:</t>
    </r>
    <r>
      <rPr>
        <sz val="11"/>
        <color rgb="FF000000"/>
        <rFont val="Calibri"/>
        <family val="2"/>
      </rPr>
      <t xml:space="preserve"> attributes declared private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name correctly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and correct type </t>
    </r>
    <r>
      <rPr>
        <sz val="11"/>
        <color rgb="FFFF0000"/>
        <rFont val="Wingdings"/>
        <charset val="2"/>
      </rPr>
      <t>ü</t>
    </r>
  </si>
  <si>
    <r>
      <rPr>
        <b/>
        <sz val="11"/>
        <color rgb="FF000000"/>
        <rFont val="Calibri"/>
        <family val="2"/>
      </rPr>
      <t>toString</t>
    </r>
    <r>
      <rPr>
        <sz val="11"/>
        <color rgb="FF000000"/>
        <rFont val="Calibri"/>
        <family val="2"/>
      </rPr>
      <t xml:space="preserve">: method header correct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correct attributes returned with the correct formatting </t>
    </r>
    <r>
      <rPr>
        <sz val="11"/>
        <color rgb="FFFF0000"/>
        <rFont val="Wingdings"/>
        <charset val="2"/>
      </rPr>
      <t>ü</t>
    </r>
  </si>
  <si>
    <r>
      <t>Constructor:</t>
    </r>
    <r>
      <rPr>
        <sz val="11"/>
        <color rgb="FF000000"/>
        <rFont val="Calibri"/>
        <family val="2"/>
      </rPr>
      <t xml:space="preserve"> header is correct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with correct parameters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and values assigned to correct attributes</t>
    </r>
    <r>
      <rPr>
        <sz val="11"/>
        <color rgb="FFFF0000"/>
        <rFont val="Wingdings"/>
        <charset val="2"/>
      </rPr>
      <t>ü</t>
    </r>
  </si>
  <si>
    <r>
      <rPr>
        <b/>
        <sz val="11"/>
        <color rgb="FF000000"/>
        <rFont val="Calibri"/>
        <family val="2"/>
      </rPr>
      <t>Response Class:</t>
    </r>
    <r>
      <rPr>
        <sz val="11"/>
        <color rgb="FF000000"/>
        <rFont val="Calibri"/>
        <family val="2"/>
      </rPr>
      <t xml:space="preserve"> Class header is correct </t>
    </r>
    <r>
      <rPr>
        <sz val="12"/>
        <color rgb="FFFF0000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/>
    </r>
  </si>
  <si>
    <r>
      <t>Properties:</t>
    </r>
    <r>
      <rPr>
        <sz val="11"/>
        <color theme="1"/>
        <rFont val="Calibri"/>
        <family val="2"/>
      </rPr>
      <t xml:space="preserve"> Private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array of Post objects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and array of Response objects declared correctly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and both of correct size (100 and 500 respectively)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>Two counters declared and initialised to 0</t>
    </r>
    <r>
      <rPr>
        <sz val="11"/>
        <color rgb="FFFF0000"/>
        <rFont val="Wingdings"/>
        <charset val="2"/>
      </rPr>
      <t>ü</t>
    </r>
  </si>
  <si>
    <r>
      <t>getAllPosts:</t>
    </r>
    <r>
      <rPr>
        <sz val="11"/>
        <color theme="1"/>
        <rFont val="Calibri"/>
        <family val="2"/>
      </rPr>
      <t xml:space="preserve"> method header correct </t>
    </r>
    <r>
      <rPr>
        <sz val="12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, appropriate for loop </t>
    </r>
    <r>
      <rPr>
        <sz val="12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, concatenate the toString of each object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with a newline </t>
    </r>
    <r>
      <rPr>
        <sz val="12"/>
        <color rgb="FFFF0000"/>
        <rFont val="Wingdings"/>
        <charset val="2"/>
      </rPr>
      <t>ü</t>
    </r>
    <r>
      <rPr>
        <sz val="12"/>
        <color theme="1"/>
        <rFont val="Calibri"/>
        <family val="2"/>
        <scheme val="minor"/>
      </rPr>
      <t xml:space="preserve"> and string returned</t>
    </r>
    <r>
      <rPr>
        <sz val="12"/>
        <color rgb="FFFF0000"/>
        <rFont val="Wingdings"/>
        <charset val="2"/>
      </rPr>
      <t>ü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</si>
  <si>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Create an interface/form/class/unit called </t>
    </r>
    <r>
      <rPr>
        <b/>
        <sz val="11"/>
        <color theme="1"/>
        <rFont val="Calibri"/>
        <family val="2"/>
      </rPr>
      <t xml:space="preserve">InstaPgeUI </t>
    </r>
    <r>
      <rPr>
        <sz val="11"/>
        <color theme="1"/>
        <rFont val="Wingdings"/>
        <charset val="2"/>
      </rPr>
      <t>ü</t>
    </r>
  </si>
  <si>
    <r>
      <rPr>
        <b/>
        <sz val="11"/>
        <color theme="1"/>
        <rFont val="Calibri"/>
        <family val="2"/>
      </rPr>
      <t xml:space="preserve">InstaPageManager: </t>
    </r>
    <r>
      <rPr>
        <sz val="11"/>
        <color theme="1"/>
        <rFont val="Calibri"/>
        <family val="2"/>
      </rPr>
      <t xml:space="preserve">Class header is correct </t>
    </r>
    <r>
      <rPr>
        <sz val="12"/>
        <color theme="1"/>
        <rFont val="Wingdings"/>
        <charset val="2"/>
      </rPr>
      <t>ü</t>
    </r>
  </si>
  <si>
    <r>
      <t xml:space="preserve">Instantiate a </t>
    </r>
    <r>
      <rPr>
        <b/>
        <sz val="11"/>
        <color theme="1"/>
        <rFont val="Calibri"/>
        <family val="2"/>
      </rPr>
      <t xml:space="preserve">InstaPageManager Object </t>
    </r>
    <r>
      <rPr>
        <sz val="11"/>
        <color theme="1"/>
        <rFont val="Wingdings"/>
        <charset val="2"/>
      </rPr>
      <t>ü</t>
    </r>
  </si>
  <si>
    <r>
      <t xml:space="preserve">Constructor: </t>
    </r>
    <r>
      <rPr>
        <sz val="11"/>
        <color theme="1"/>
        <rFont val="Calibri"/>
        <family val="2"/>
      </rPr>
      <t xml:space="preserve">Method header correct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Display error if file does not exist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Open file for reading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Loop through every line in the file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Read a line from the file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and tokenize </t>
    </r>
    <r>
      <rPr>
        <sz val="11"/>
        <color rgb="FFFF0000"/>
        <rFont val="Wingdings"/>
        <charset val="2"/>
      </rPr>
      <t>üü</t>
    </r>
    <r>
      <rPr>
        <sz val="11"/>
        <color theme="1"/>
        <rFont val="Calibri"/>
        <family val="2"/>
      </rPr>
      <t xml:space="preserve">Determine wether the line is a </t>
    </r>
    <r>
      <rPr>
        <b/>
        <sz val="11"/>
        <color theme="1"/>
        <rFont val="Calibri"/>
        <family val="2"/>
      </rPr>
      <t>Post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Response</t>
    </r>
    <r>
      <rPr>
        <b/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Extract the </t>
    </r>
    <r>
      <rPr>
        <b/>
        <sz val="11"/>
        <color theme="1"/>
        <rFont val="Calibri"/>
        <family val="2"/>
      </rPr>
      <t>responseType</t>
    </r>
    <r>
      <rPr>
        <sz val="11"/>
        <color theme="1"/>
        <rFont val="Calibri"/>
        <family val="2"/>
      </rPr>
      <t xml:space="preserve"> for </t>
    </r>
    <r>
      <rPr>
        <b/>
        <sz val="11"/>
        <color theme="1"/>
        <rFont val="Calibri"/>
        <family val="2"/>
      </rPr>
      <t>Response</t>
    </r>
    <r>
      <rPr>
        <sz val="11"/>
        <color theme="1"/>
        <rFont val="Calibri"/>
        <family val="2"/>
      </rPr>
      <t xml:space="preserve"> objects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Add a new </t>
    </r>
    <r>
      <rPr>
        <b/>
        <sz val="11"/>
        <color theme="1"/>
        <rFont val="Calibri"/>
        <family val="2"/>
      </rPr>
      <t>Response</t>
    </r>
    <r>
      <rPr>
        <sz val="11"/>
        <color theme="1"/>
        <rFont val="Calibri"/>
        <family val="2"/>
      </rPr>
      <t xml:space="preserve"> object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 or a new </t>
    </r>
    <r>
      <rPr>
        <b/>
        <sz val="11"/>
        <color theme="1"/>
        <rFont val="Calibri"/>
        <family val="2"/>
      </rPr>
      <t>Post</t>
    </r>
    <r>
      <rPr>
        <sz val="11"/>
        <color theme="1"/>
        <rFont val="Calibri"/>
        <family val="2"/>
      </rPr>
      <t xml:space="preserve"> object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 to the correct array at the correct position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and increment the correct counters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</si>
  <si>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 xml:space="preserve">getAllPosts </t>
    </r>
    <r>
      <rPr>
        <sz val="11"/>
        <color theme="1"/>
        <rFont val="Calibri"/>
        <family val="2"/>
      </rPr>
      <t xml:space="preserve">method called  and output displayed </t>
    </r>
    <r>
      <rPr>
        <sz val="11"/>
        <color theme="1"/>
        <rFont val="Wingdings"/>
        <charset val="2"/>
      </rPr>
      <t>ü</t>
    </r>
  </si>
  <si>
    <r>
      <t xml:space="preserve">Method called in </t>
    </r>
    <r>
      <rPr>
        <b/>
        <sz val="11"/>
        <color theme="1"/>
        <rFont val="Calibri"/>
        <family val="2"/>
      </rPr>
      <t>InstaPageUI</t>
    </r>
    <r>
      <rPr>
        <sz val="11"/>
        <color theme="1"/>
        <rFont val="Calibri"/>
        <family val="2"/>
      </rPr>
      <t xml:space="preserve"> and output displayed </t>
    </r>
    <r>
      <rPr>
        <sz val="12"/>
        <color theme="1"/>
        <rFont val="Wingdings"/>
        <charset val="2"/>
      </rPr>
      <t>ü</t>
    </r>
  </si>
  <si>
    <r>
      <t>PostWithResponse Class:</t>
    </r>
    <r>
      <rPr>
        <sz val="11"/>
        <color rgb="FF000000"/>
        <rFont val="Calibri"/>
        <family val="2"/>
      </rPr>
      <t xml:space="preserve"> Class header is correct </t>
    </r>
    <r>
      <rPr>
        <sz val="11"/>
        <color rgb="FFFF0000"/>
        <rFont val="Wingdings"/>
        <charset val="2"/>
      </rPr>
      <t>ü</t>
    </r>
  </si>
  <si>
    <r>
      <t>INSERT INTO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tblMembership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(GroupID, ProfileID, Admin, Posts)
VALUES (</t>
    </r>
    <r>
      <rPr>
        <sz val="11"/>
        <color rgb="FFFF0000"/>
        <rFont val="Calibri"/>
        <family val="2"/>
      </rPr>
      <t>8</t>
    </r>
    <r>
      <rPr>
        <sz val="11"/>
        <color rgb="FF000000"/>
        <rFont val="Calibri"/>
        <family val="2"/>
      </rPr>
      <t xml:space="preserve">, 98, TRUE, 0); </t>
    </r>
    <r>
      <rPr>
        <sz val="11"/>
        <color rgb="FFFF0000"/>
        <rFont val="Wingdings"/>
        <charset val="2"/>
      </rPr>
      <t xml:space="preserve">
</t>
    </r>
    <r>
      <rPr>
        <sz val="11"/>
        <color rgb="FFFF0000"/>
        <rFont val="Calibri"/>
        <family val="2"/>
        <scheme val="minor"/>
      </rPr>
      <t>(Not necessary to award or deduct a mark for field list as it is not needed.)</t>
    </r>
  </si>
  <si>
    <r>
      <t>SELECT GroupID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>, ROUND(AVG(Posts)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>, 1)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
FROM tblMembership
GROUP BY GroupID; </t>
    </r>
    <r>
      <rPr>
        <sz val="11"/>
        <color rgb="FFFF0000"/>
        <rFont val="Wingdings"/>
        <charset val="2"/>
      </rPr>
      <t xml:space="preserve">
</t>
    </r>
    <r>
      <rPr>
        <sz val="11"/>
        <color rgb="FFFF0000"/>
        <rFont val="Calibri"/>
        <family val="2"/>
        <scheme val="minor"/>
      </rPr>
      <t>(Allocate 1 mark for AVG and one for ROUND to 1 decimal place)</t>
    </r>
  </si>
  <si>
    <r>
      <t>SELECT GroupID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 SUM(DailyPostRate * 7) 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 AS PredictedWeeklyPosts
FROM tblProfiles, 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 tblMembership 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
WHERE tblProfiles.ProfileID = tblMembership.ProfileID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
GROUP BY GroupID </t>
    </r>
    <r>
      <rPr>
        <sz val="11"/>
        <color rgb="FFFF0000"/>
        <rFont val="Wingdings"/>
        <charset val="2"/>
      </rPr>
      <t xml:space="preserve">
</t>
    </r>
    <r>
      <rPr>
        <sz val="11"/>
        <color rgb="FFFF0000"/>
        <rFont val="Calibri"/>
        <family val="2"/>
        <scheme val="minor"/>
      </rPr>
      <t>(Accept SUM(DailyPostRate) * 7)</t>
    </r>
  </si>
  <si>
    <r>
      <t>SELECT Username, Fullname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
FROM tblProfiles
WHERE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 Privacy="public"</t>
    </r>
    <r>
      <rPr>
        <sz val="11"/>
        <color rgb="FFFF0000"/>
        <rFont val="Wingdings"/>
        <charset val="2"/>
      </rPr>
      <t xml:space="preserve">
</t>
    </r>
    <r>
      <rPr>
        <sz val="11"/>
        <color rgb="FFFF0000"/>
        <rFont val="Calibri"/>
        <family val="2"/>
        <scheme val="minor"/>
      </rPr>
      <t>(LIKE “public” is acceptable but do not accept LIKE “public*” or variations of wildcards. Also for Q1.7)</t>
    </r>
  </si>
  <si>
    <r>
      <t xml:space="preserve">SELECT GroupName,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COUNT(*)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
FROM tblProfiles, tblGroups, tblMembership </t>
    </r>
    <r>
      <rPr>
        <sz val="11"/>
        <color rgb="FFFF0000"/>
        <rFont val="Wingdings"/>
        <charset val="2"/>
      </rPr>
      <t></t>
    </r>
    <r>
      <rPr>
        <sz val="11"/>
        <color rgb="FF000000"/>
        <rFont val="Calibri"/>
        <family val="2"/>
      </rPr>
      <t xml:space="preserve">
WHERE tblProfiles.ProfileID = tblMembership.ProfileID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AND tblGroups.GroupID = tblMembership.GroupID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AND Admin = true </t>
    </r>
    <r>
      <rPr>
        <sz val="11"/>
        <color rgb="FFFF0000"/>
        <rFont val="Wingdings"/>
        <charset val="2"/>
      </rPr>
      <t></t>
    </r>
    <r>
      <rPr>
        <sz val="11"/>
        <color rgb="FF000000"/>
        <rFont val="Calibri"/>
        <family val="2"/>
      </rPr>
      <t xml:space="preserve"> AND Privacy = "private" </t>
    </r>
    <r>
      <rPr>
        <sz val="11"/>
        <color rgb="FFFF0000"/>
        <rFont val="Wingdings"/>
        <charset val="2"/>
      </rPr>
      <t xml:space="preserve"> </t>
    </r>
    <r>
      <rPr>
        <sz val="11"/>
        <color rgb="FFFF0000"/>
        <rFont val="Calibri"/>
        <family val="2"/>
        <scheme val="minor"/>
      </rPr>
      <t>(See 1.2)</t>
    </r>
    <r>
      <rPr>
        <sz val="11"/>
        <color rgb="FF000000"/>
        <rFont val="Calibri"/>
        <family val="2"/>
      </rPr>
      <t xml:space="preserve">
GROUP BY GroupName; </t>
    </r>
    <r>
      <rPr>
        <sz val="11"/>
        <color rgb="FFFF0000"/>
        <rFont val="Wingdings"/>
        <charset val="2"/>
      </rPr>
      <t></t>
    </r>
  </si>
  <si>
    <r>
      <t xml:space="preserve">SELECT MONTH(CreatedDate) AS CreatedMonth, COUNT(*) AS TotalGroups 
FROM tblGroups
GROUP BY MONTH(CreatedDate) 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
HAVING</t>
    </r>
    <r>
      <rPr>
        <sz val="11"/>
        <color rgb="FFFF0000"/>
        <rFont val="Wingdings"/>
        <charset val="2"/>
      </rPr>
      <t></t>
    </r>
    <r>
      <rPr>
        <sz val="11"/>
        <color theme="1"/>
        <rFont val="Calibri"/>
        <family val="2"/>
      </rPr>
      <t xml:space="preserve"> COUNT(*) &gt; 2; </t>
    </r>
    <r>
      <rPr>
        <sz val="11"/>
        <color rgb="FFFF0000"/>
        <rFont val="Wingdings"/>
        <charset val="2"/>
      </rPr>
      <t>
</t>
    </r>
    <r>
      <rPr>
        <sz val="11"/>
        <color rgb="FFFF0000"/>
        <rFont val="Calibri"/>
        <family val="2"/>
        <scheme val="minor"/>
      </rPr>
      <t xml:space="preserve">(Allocate this mark for correctly rename fields CreatedMonth and TotalGroups)
</t>
    </r>
    <r>
      <rPr>
        <sz val="11"/>
        <color rgb="FFFF0000"/>
        <rFont val="Wingdings"/>
        <charset val="2"/>
      </rPr>
      <t></t>
    </r>
    <r>
      <rPr>
        <sz val="11"/>
        <color rgb="FFFF0000"/>
        <rFont val="Calibri"/>
        <family val="2"/>
        <scheme val="minor"/>
      </rPr>
      <t>(Allocated this mark for correctly using MONTH and COUNT in the SELECT clause)</t>
    </r>
  </si>
  <si>
    <r>
      <t>A</t>
    </r>
    <r>
      <rPr>
        <b/>
        <sz val="11"/>
        <color rgb="FF000000"/>
        <rFont val="Calibri"/>
        <family val="2"/>
        <scheme val="minor"/>
      </rPr>
      <t>c</t>
    </r>
    <r>
      <rPr>
        <b/>
        <sz val="11"/>
        <color rgb="FF000000"/>
        <rFont val="Calibri"/>
        <family val="2"/>
      </rPr>
      <t>cessor Methods (getPostID):</t>
    </r>
    <r>
      <rPr>
        <sz val="11"/>
        <color rgb="FF000000"/>
        <rFont val="Calibri"/>
        <family val="2"/>
      </rPr>
      <t xml:space="preserve"> named correctly, return type is correct, and returns the correct attribute value 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>(Accept getID() as method name)</t>
    </r>
  </si>
  <si>
    <r>
      <t>Constructor:</t>
    </r>
    <r>
      <rPr>
        <sz val="11"/>
        <color theme="1"/>
        <rFont val="Calibri"/>
        <family val="2"/>
      </rPr>
      <t xml:space="preserve"> method header correct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inResponseType</t>
    </r>
    <r>
      <rPr>
        <sz val="11"/>
        <color theme="1"/>
        <rFont val="Calibri"/>
        <family val="2"/>
      </rPr>
      <t xml:space="preserve"> parameter is an integer</t>
    </r>
    <r>
      <rPr>
        <sz val="11"/>
        <color rgb="FFFF0000"/>
        <rFont val="Calibri"/>
        <family val="2"/>
      </rPr>
      <t xml:space="preserve"> (penalise this again even if penalised in 3.2)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values assigned to correctly attributes</t>
    </r>
    <r>
      <rPr>
        <sz val="11"/>
        <color rgb="FFFF0000"/>
        <rFont val="Wingdings"/>
        <charset val="2"/>
      </rPr>
      <t>ü</t>
    </r>
  </si>
  <si>
    <r>
      <t xml:space="preserve">Constants: </t>
    </r>
    <r>
      <rPr>
        <sz val="11"/>
        <color theme="1"/>
        <rFont val="Calibri"/>
        <family val="2"/>
      </rPr>
      <t>final/const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named correctly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integer values assigned correctly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>(Do not penalise for private instead of public)</t>
    </r>
  </si>
  <si>
    <r>
      <t>A</t>
    </r>
    <r>
      <rPr>
        <b/>
        <sz val="11"/>
        <color rgb="FF000000"/>
        <rFont val="Calibri"/>
        <family val="2"/>
        <scheme val="minor"/>
      </rPr>
      <t>c</t>
    </r>
    <r>
      <rPr>
        <b/>
        <sz val="11"/>
        <color rgb="FF000000"/>
        <rFont val="Calibri"/>
        <family val="2"/>
      </rPr>
      <t>cessor Methods (getPostID):</t>
    </r>
    <r>
      <rPr>
        <sz val="11"/>
        <color rgb="FF000000"/>
        <rFont val="Calibri"/>
        <family val="2"/>
      </rPr>
      <t xml:space="preserve"> named correctly, return type is correct, and returns the correct attribute value </t>
    </r>
    <r>
      <rPr>
        <sz val="11"/>
        <color rgb="FFFF0000"/>
        <rFont val="Wingdings"/>
        <charset val="2"/>
      </rPr>
      <t xml:space="preserve">ü </t>
    </r>
    <r>
      <rPr>
        <sz val="11"/>
        <color rgb="FFFF0000"/>
        <rFont val="Calibri"/>
        <family val="2"/>
        <scheme val="minor"/>
      </rPr>
      <t>(Do not accept getID() in this case)</t>
    </r>
  </si>
  <si>
    <r>
      <t>Fields/Properties:</t>
    </r>
    <r>
      <rPr>
        <sz val="11"/>
        <color rgb="FF000000"/>
        <rFont val="Calibri"/>
        <family val="2"/>
      </rPr>
      <t xml:space="preserve"> attributes declared private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name correctly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and correct type 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 xml:space="preserve"> (Do not give mark for correct type if responseType is not an int. Do not penalise for extra unrelated fields)</t>
    </r>
  </si>
  <si>
    <r>
      <t xml:space="preserve">getResponseType/getReactionType: </t>
    </r>
    <r>
      <rPr>
        <sz val="11"/>
        <color theme="1"/>
        <rFont val="Calibri"/>
        <family val="2"/>
      </rPr>
      <t>method header correct (accept both names)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switch or if…else used to compare against constants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correct string returned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>(-1 mark if constants aren't used. -1 mark if four separate if statements that are used with no else) (Do not penalise for public instead of private)</t>
    </r>
  </si>
  <si>
    <r>
      <t xml:space="preserve">toString: </t>
    </r>
    <r>
      <rPr>
        <sz val="11"/>
        <color theme="1"/>
        <rFont val="Calibri"/>
        <family val="2"/>
      </rPr>
      <t>method header correct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correct attributes concatenated and getResponseType used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comments return different string to other responses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>(Do not penalise again for not using constants in the if statement)</t>
    </r>
  </si>
  <si>
    <r>
      <t xml:space="preserve">Fields/Properties: </t>
    </r>
    <r>
      <rPr>
        <sz val="11"/>
        <color rgb="FF000000"/>
        <rFont val="Calibri"/>
        <family val="2"/>
      </rPr>
      <t xml:space="preserve">Property for a </t>
    </r>
    <r>
      <rPr>
        <b/>
        <sz val="11"/>
        <color rgb="FF000000"/>
        <rFont val="Calibri"/>
        <family val="2"/>
      </rPr>
      <t>Post</t>
    </r>
    <r>
      <rPr>
        <sz val="11"/>
        <color rgb="FF000000"/>
        <rFont val="Calibri"/>
        <family val="2"/>
      </rPr>
      <t xml:space="preserve"> object OR inherited fields from </t>
    </r>
    <r>
      <rPr>
        <b/>
        <sz val="11"/>
        <color rgb="FF000000"/>
        <rFont val="Calibri"/>
        <family val="2"/>
      </rPr>
      <t>Post</t>
    </r>
    <r>
      <rPr>
        <sz val="11"/>
        <color rgb="FF000000"/>
        <rFont val="Calibri"/>
        <family val="2"/>
      </rPr>
      <t xml:space="preserve"> class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Property declared for an array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of </t>
    </r>
    <r>
      <rPr>
        <b/>
        <sz val="11"/>
        <color rgb="FF000000"/>
        <rFont val="Calibri"/>
        <family val="2"/>
      </rPr>
      <t>Response</t>
    </r>
    <r>
      <rPr>
        <sz val="11"/>
        <color rgb="FF000000"/>
        <rFont val="Calibri"/>
        <family val="2"/>
      </rPr>
      <t xml:space="preserve"> objects 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>(Additional fields, e.g. counters, are acceptable)</t>
    </r>
  </si>
  <si>
    <r>
      <rPr>
        <b/>
        <sz val="11"/>
        <color rgb="FF000000"/>
        <rFont val="Calibri"/>
        <family val="2"/>
      </rPr>
      <t>toString</t>
    </r>
    <r>
      <rPr>
        <sz val="11"/>
        <color rgb="FF000000"/>
        <rFont val="Calibri"/>
        <family val="2"/>
      </rPr>
      <t xml:space="preserve">: </t>
    </r>
    <r>
      <rPr>
        <b/>
        <sz val="11"/>
        <color rgb="FF000000"/>
        <rFont val="Calibri"/>
        <family val="2"/>
      </rPr>
      <t xml:space="preserve">Post </t>
    </r>
    <r>
      <rPr>
        <sz val="11"/>
        <color rgb="FF000000"/>
        <rFont val="Calibri"/>
        <family val="2"/>
      </rPr>
      <t xml:space="preserve">object toString method called OR super.toString() called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loop through array of </t>
    </r>
    <r>
      <rPr>
        <b/>
        <sz val="11"/>
        <color rgb="FF000000"/>
        <rFont val="Calibri"/>
        <family val="2"/>
      </rPr>
      <t xml:space="preserve">Response </t>
    </r>
    <r>
      <rPr>
        <sz val="11"/>
        <color rgb="FF000000"/>
        <rFont val="Calibri"/>
        <family val="2"/>
      </rPr>
      <t>objects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add a new line </t>
    </r>
    <r>
      <rPr>
        <sz val="11"/>
        <color rgb="FFFF0000"/>
        <rFont val="Calibri"/>
        <family val="2"/>
      </rPr>
      <t>with some tabs included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and concatenate each Response object to the output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and return a string</t>
    </r>
    <r>
      <rPr>
        <sz val="11"/>
        <color rgb="FFFF0000"/>
        <rFont val="Wingdings"/>
        <charset val="2"/>
      </rPr>
      <t>ü</t>
    </r>
  </si>
  <si>
    <r>
      <t>Constructor:</t>
    </r>
    <r>
      <rPr>
        <sz val="11"/>
        <color rgb="FF000000"/>
        <rFont val="Calibri"/>
        <family val="2"/>
      </rPr>
      <t xml:space="preserve"> one parameter is a </t>
    </r>
    <r>
      <rPr>
        <b/>
        <sz val="11"/>
        <color rgb="FF000000"/>
        <rFont val="Calibri"/>
        <family val="2"/>
      </rPr>
      <t>Post</t>
    </r>
    <r>
      <rPr>
        <sz val="11"/>
        <color rgb="FF000000"/>
        <rFont val="Calibri"/>
        <family val="2"/>
      </rPr>
      <t xml:space="preserve"> object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and the other parameter is an</t>
    </r>
    <r>
      <rPr>
        <sz val="11"/>
        <color rgb="FFFF0000"/>
        <rFont val="Calibri"/>
        <family val="2"/>
      </rPr>
      <t>y</t>
    </r>
    <r>
      <rPr>
        <sz val="11"/>
        <color rgb="FF000000"/>
        <rFont val="Calibri"/>
        <family val="2"/>
      </rPr>
      <t xml:space="preserve"> array of </t>
    </r>
    <r>
      <rPr>
        <b/>
        <sz val="11"/>
        <color rgb="FF000000"/>
        <rFont val="Calibri"/>
        <family val="2"/>
      </rPr>
      <t>Response</t>
    </r>
    <r>
      <rPr>
        <sz val="11"/>
        <color rgb="FF000000"/>
        <rFont val="Calibri"/>
        <family val="2"/>
      </rPr>
      <t xml:space="preserve"> objects </t>
    </r>
    <r>
      <rPr>
        <sz val="11"/>
        <color rgb="FFFF0000"/>
        <rFont val="Wingdings"/>
        <charset val="2"/>
      </rPr>
      <t>ü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Post</t>
    </r>
    <r>
      <rPr>
        <sz val="11"/>
        <color rgb="FF000000"/>
        <rFont val="Calibri"/>
        <family val="2"/>
      </rPr>
      <t xml:space="preserve"> parameter assigned to the correct property OR parent constructure called 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and array of </t>
    </r>
    <r>
      <rPr>
        <b/>
        <sz val="11"/>
        <rFont val="Calibri"/>
        <family val="2"/>
        <scheme val="minor"/>
      </rPr>
      <t>Response</t>
    </r>
    <r>
      <rPr>
        <sz val="11"/>
        <rFont val="Calibri"/>
        <family val="2"/>
        <scheme val="minor"/>
      </rPr>
      <t xml:space="preserve"> objects assigned correctly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>(Additional parameters e.g. counters, are acceptable)</t>
    </r>
  </si>
  <si>
    <r>
      <t xml:space="preserve">Array of </t>
    </r>
    <r>
      <rPr>
        <b/>
        <sz val="11"/>
        <color theme="1"/>
        <rFont val="Calibri"/>
        <family val="2"/>
      </rPr>
      <t>PostWithResponse</t>
    </r>
    <r>
      <rPr>
        <sz val="11"/>
        <color theme="1"/>
        <rFont val="Calibri"/>
        <family val="2"/>
      </rPr>
      <t xml:space="preserve"> objects declared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of the </t>
    </r>
    <r>
      <rPr>
        <sz val="11"/>
        <color rgb="FFFF0000"/>
        <rFont val="Calibri"/>
        <family val="2"/>
      </rPr>
      <t>same size or larger size</t>
    </r>
    <r>
      <rPr>
        <sz val="11"/>
        <color theme="1"/>
        <rFont val="Calibri"/>
        <family val="2"/>
      </rPr>
      <t xml:space="preserve"> of the </t>
    </r>
    <r>
      <rPr>
        <b/>
        <sz val="11"/>
        <color theme="1"/>
        <rFont val="Calibri"/>
        <family val="2"/>
      </rPr>
      <t xml:space="preserve">Post </t>
    </r>
    <r>
      <rPr>
        <sz val="11"/>
        <color theme="1"/>
        <rFont val="Calibri"/>
        <family val="2"/>
      </rPr>
      <t xml:space="preserve">object array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
Method declared in </t>
    </r>
    <r>
      <rPr>
        <b/>
        <sz val="11"/>
        <color theme="1"/>
        <rFont val="Calibri"/>
        <family val="2"/>
      </rPr>
      <t xml:space="preserve">InstaPageManager </t>
    </r>
    <r>
      <rPr>
        <sz val="11"/>
        <color theme="1"/>
        <rFont val="Calibri"/>
        <family val="2"/>
      </rPr>
      <t>with an appropriate name that returns a string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
Loop through existing </t>
    </r>
    <r>
      <rPr>
        <b/>
        <sz val="11"/>
        <color theme="1"/>
        <rFont val="Calibri"/>
        <family val="2"/>
      </rPr>
      <t xml:space="preserve">Post </t>
    </r>
    <r>
      <rPr>
        <sz val="11"/>
        <color theme="1"/>
        <rFont val="Calibri"/>
        <family val="2"/>
      </rPr>
      <t>array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
Array declared to store the </t>
    </r>
    <r>
      <rPr>
        <b/>
        <sz val="11"/>
        <color theme="1"/>
        <rFont val="Calibri"/>
        <family val="2"/>
      </rPr>
      <t>Response</t>
    </r>
    <r>
      <rPr>
        <sz val="11"/>
        <color theme="1"/>
        <rFont val="Calibri"/>
        <family val="2"/>
      </rPr>
      <t xml:space="preserve"> objects for a single post </t>
    </r>
    <r>
      <rPr>
        <sz val="11"/>
        <color rgb="FFFF0000"/>
        <rFont val="Calibri"/>
        <family val="2"/>
      </rPr>
      <t>regardless of size. i.e. can include a counter or use Vector or ArrayList</t>
    </r>
    <r>
      <rPr>
        <sz val="11"/>
        <color rgb="FFFF0000"/>
        <rFont val="Wingdings"/>
        <charset val="2"/>
      </rPr>
      <t xml:space="preserve">ü
</t>
    </r>
    <r>
      <rPr>
        <sz val="11"/>
        <color theme="1"/>
        <rFont val="Calibri"/>
        <family val="2"/>
        <scheme val="minor"/>
      </rPr>
      <t xml:space="preserve">Loop through all </t>
    </r>
    <r>
      <rPr>
        <b/>
        <sz val="11"/>
        <color theme="1"/>
        <rFont val="Calibri"/>
        <family val="2"/>
        <scheme val="minor"/>
      </rPr>
      <t>Response</t>
    </r>
    <r>
      <rPr>
        <sz val="11"/>
        <color theme="1"/>
        <rFont val="Calibri"/>
        <family val="2"/>
        <scheme val="minor"/>
      </rPr>
      <t xml:space="preserve"> objects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and f</t>
    </r>
    <r>
      <rPr>
        <sz val="11"/>
        <color theme="1"/>
        <rFont val="Calibri"/>
        <family val="2"/>
      </rPr>
      <t xml:space="preserve">ind all the matching </t>
    </r>
    <r>
      <rPr>
        <b/>
        <sz val="11"/>
        <color theme="1"/>
        <rFont val="Calibri"/>
        <family val="2"/>
      </rPr>
      <t>Response</t>
    </r>
    <r>
      <rPr>
        <sz val="11"/>
        <color theme="1"/>
        <rFont val="Calibri"/>
        <family val="2"/>
      </rPr>
      <t xml:space="preserve"> objects for each </t>
    </r>
    <r>
      <rPr>
        <b/>
        <sz val="11"/>
        <color theme="1"/>
        <rFont val="Calibri"/>
        <family val="2"/>
      </rPr>
      <t>Post</t>
    </r>
    <r>
      <rPr>
        <sz val="11"/>
        <color rgb="FFFF0000"/>
        <rFont val="Calibri"/>
        <family val="2"/>
      </rPr>
      <t xml:space="preserve"> (using the PostID and ID fields of the Response and Post objects respectively)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
Add the matching </t>
    </r>
    <r>
      <rPr>
        <b/>
        <sz val="11"/>
        <color theme="1"/>
        <rFont val="Calibri"/>
        <family val="2"/>
      </rPr>
      <t xml:space="preserve">Response </t>
    </r>
    <r>
      <rPr>
        <sz val="11"/>
        <color theme="1"/>
        <rFont val="Calibri"/>
        <family val="2"/>
      </rPr>
      <t xml:space="preserve">objects for each </t>
    </r>
    <r>
      <rPr>
        <b/>
        <sz val="11"/>
        <color theme="1"/>
        <rFont val="Calibri"/>
        <family val="2"/>
      </rPr>
      <t xml:space="preserve">Post 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to an array of </t>
    </r>
    <r>
      <rPr>
        <b/>
        <sz val="11"/>
        <color theme="1"/>
        <rFont val="Calibri"/>
        <family val="2"/>
      </rPr>
      <t>Responses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
Create a new </t>
    </r>
    <r>
      <rPr>
        <b/>
        <sz val="11"/>
        <color theme="1"/>
        <rFont val="Calibri"/>
        <family val="2"/>
      </rPr>
      <t>PostWithResponse</t>
    </r>
    <r>
      <rPr>
        <sz val="11"/>
        <color theme="1"/>
        <rFont val="Calibri"/>
        <family val="2"/>
      </rPr>
      <t xml:space="preserve"> object and add to the array of  </t>
    </r>
    <r>
      <rPr>
        <b/>
        <sz val="11"/>
        <color theme="1"/>
        <rFont val="Calibri"/>
        <family val="2"/>
      </rPr>
      <t>PostWithResponse</t>
    </r>
    <r>
      <rPr>
        <sz val="11"/>
        <color theme="1"/>
        <rFont val="Calibri"/>
        <family val="2"/>
      </rPr>
      <t xml:space="preserve"> objects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
Concatenate and return the toString of each </t>
    </r>
    <r>
      <rPr>
        <b/>
        <sz val="11"/>
        <color theme="1"/>
        <rFont val="Calibri"/>
        <family val="2"/>
      </rPr>
      <t>PostWithResponse</t>
    </r>
    <r>
      <rPr>
        <sz val="11"/>
        <color theme="1"/>
        <rFont val="Calibri"/>
        <family val="2"/>
      </rPr>
      <t xml:space="preserve"> object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
Some algorithm for ensuring that the array of </t>
    </r>
    <r>
      <rPr>
        <b/>
        <sz val="11"/>
        <color theme="1"/>
        <rFont val="Calibri"/>
        <family val="2"/>
      </rPr>
      <t>Response</t>
    </r>
    <r>
      <rPr>
        <sz val="11"/>
        <color theme="1"/>
        <rFont val="Calibri"/>
        <family val="2"/>
      </rPr>
      <t xml:space="preserve"> objects associated with each </t>
    </r>
    <r>
      <rPr>
        <b/>
        <sz val="11"/>
        <color theme="1"/>
        <rFont val="Calibri"/>
        <family val="2"/>
      </rPr>
      <t>Response</t>
    </r>
    <r>
      <rPr>
        <sz val="11"/>
        <color theme="1"/>
        <rFont val="Calibri"/>
        <family val="2"/>
      </rPr>
      <t xml:space="preserve"> is of the correct size </t>
    </r>
    <r>
      <rPr>
        <sz val="11"/>
        <color rgb="FFFF0000"/>
        <rFont val="Calibri"/>
        <family val="2"/>
      </rPr>
      <t xml:space="preserve"> (also accept including a counter, Vector or ArrayList or checking for null either here or in PostWithResponse class)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Wingdings"/>
        <charset val="2"/>
      </rPr>
      <t>ü</t>
    </r>
  </si>
  <si>
    <t>FINAL Marksheet (25 October 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</si>
</sst>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\-####\-####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color theme="1"/>
      <name val="Calibri"/>
      <family val="2"/>
    </font>
    <font>
      <sz val="12"/>
      <color theme="1"/>
      <name val="Wingdings"/>
      <charset val="2"/>
    </font>
    <font>
      <sz val="11"/>
      <color rgb="FFFF0000"/>
      <name val="Wingdings"/>
      <charset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2"/>
      <color rgb="FFFF0000"/>
      <name val="Wingdings"/>
      <charset val="2"/>
    </font>
    <font>
      <b/>
      <sz val="11"/>
      <color rgb="FFFF0000"/>
      <name val="Wingdings"/>
      <charset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Border="1"/>
    <xf numFmtId="0" fontId="2" fillId="0" borderId="0" xfId="0" applyFont="1" applyBorder="1"/>
    <xf numFmtId="0" fontId="0" fillId="0" borderId="0" xfId="0" applyFont="1" applyBorder="1" applyAlignment="1">
      <alignment wrapText="1"/>
    </xf>
    <xf numFmtId="0" fontId="0" fillId="0" borderId="0" xfId="0" applyBorder="1" applyAlignment="1">
      <alignment vertical="top"/>
    </xf>
    <xf numFmtId="0" fontId="2" fillId="0" borderId="1" xfId="0" applyFont="1" applyBorder="1"/>
    <xf numFmtId="0" fontId="0" fillId="0" borderId="0" xfId="0" applyBorder="1" applyAlignment="1">
      <alignment horizontal="center" vertical="top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left"/>
    </xf>
    <xf numFmtId="0" fontId="6" fillId="0" borderId="4" xfId="0" applyFont="1" applyFill="1" applyBorder="1" applyAlignment="1">
      <alignment horizontal="right" vertical="center" wrapText="1"/>
    </xf>
    <xf numFmtId="0" fontId="0" fillId="0" borderId="5" xfId="0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0" xfId="0" applyFill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wrapText="1"/>
    </xf>
    <xf numFmtId="49" fontId="2" fillId="0" borderId="1" xfId="0" quotePrefix="1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2" fillId="0" borderId="1" xfId="0" applyFont="1" applyBorder="1" applyAlignment="1">
      <alignment horizontal="right"/>
    </xf>
    <xf numFmtId="0" fontId="8" fillId="0" borderId="0" xfId="0" applyFont="1" applyBorder="1" applyAlignment="1">
      <alignment horizontal="left" wrapText="1"/>
    </xf>
    <xf numFmtId="0" fontId="0" fillId="0" borderId="1" xfId="0" applyFont="1" applyBorder="1" applyAlignment="1">
      <alignment vertical="top"/>
    </xf>
    <xf numFmtId="0" fontId="0" fillId="0" borderId="0" xfId="0" applyFont="1" applyBorder="1"/>
    <xf numFmtId="0" fontId="0" fillId="0" borderId="1" xfId="0" applyFont="1" applyFill="1" applyBorder="1" applyAlignment="1">
      <alignment vertical="top"/>
    </xf>
    <xf numFmtId="0" fontId="0" fillId="0" borderId="0" xfId="0" applyFont="1" applyFill="1" applyBorder="1"/>
    <xf numFmtId="0" fontId="0" fillId="0" borderId="0" xfId="0" applyFont="1" applyFill="1"/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2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0" xfId="0" applyFont="1" applyBorder="1" applyAlignment="1">
      <alignment horizontal="left" vertical="top" wrapText="1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15" fillId="0" borderId="6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5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1" xfId="0" quotePrefix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0" fontId="7" fillId="0" borderId="1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right" vertical="center" wrapText="1"/>
    </xf>
    <xf numFmtId="0" fontId="6" fillId="0" borderId="3" xfId="0" applyFont="1" applyFill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45244</xdr:colOff>
      <xdr:row>0</xdr:row>
      <xdr:rowOff>57149</xdr:rowOff>
    </xdr:from>
    <xdr:to>
      <xdr:col>1</xdr:col>
      <xdr:colOff>2550319</xdr:colOff>
      <xdr:row>5</xdr:row>
      <xdr:rowOff>92869</xdr:rowOff>
    </xdr:to>
    <xdr:sp macro="" textlink="">
      <xdr:nvSpPr>
        <xdr:cNvPr id="3" name="TextBox 2"/>
        <xdr:cNvSpPr txBox="1"/>
      </xdr:nvSpPr>
      <xdr:spPr>
        <a:xfrm>
          <a:off x="45244" y="57149"/>
          <a:ext cx="2781300" cy="1378745"/>
        </a:xfrm>
        <a:prstGeom prst="rect">
          <a:avLst/>
        </a:prstGeom>
        <a:solidFill>
          <a:schemeClr val="lt1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100" b="1" i="1">
              <a:solidFill>
                <a:schemeClr val="tx1"/>
              </a:solidFill>
            </a:rPr>
            <a:t>Place candidate's barcoded</a:t>
          </a:r>
        </a:p>
        <a:p>
          <a:pPr algn="ctr"/>
          <a:r>
            <a:rPr lang="en-ZA" sz="1100" b="1" i="1">
              <a:solidFill>
                <a:schemeClr val="tx1"/>
              </a:solidFill>
            </a:rPr>
            <a:t>sticker here.</a:t>
          </a:r>
        </a:p>
        <a:p>
          <a:pPr algn="ctr"/>
          <a:endParaRPr lang="en-ZA" sz="1100" b="1" i="1">
            <a:solidFill>
              <a:schemeClr val="tx1"/>
            </a:solidFill>
          </a:endParaRPr>
        </a:p>
        <a:p>
          <a:pPr algn="ctr"/>
          <a:r>
            <a:rPr lang="en-ZA" sz="1100" b="1" i="1">
              <a:solidFill>
                <a:schemeClr val="tx1"/>
              </a:solidFill>
            </a:rPr>
            <a:t>This sheet must be stapled</a:t>
          </a:r>
          <a:r>
            <a:rPr lang="en-ZA" sz="1100" b="1" i="1" baseline="0">
              <a:solidFill>
                <a:schemeClr val="tx1"/>
              </a:solidFill>
            </a:rPr>
            <a:t> to the front of each candidate's submission.</a:t>
          </a:r>
          <a:endParaRPr lang="en-ZA" sz="1100" b="1" i="1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formation%20Technology%20Paper%20II%20Mark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ture"/>
      <sheetName val="Distribution"/>
    </sheetNames>
    <sheetDataSet>
      <sheetData sheetId="0">
        <row r="1">
          <cell r="U1" t="str">
            <v>0123456789abcdefghijklmnopqrstuvwxyzABCDEFGHIJKLMNOPQRSTUVWXYZ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50"/>
  <sheetViews>
    <sheetView tabSelected="1" zoomScale="80" zoomScaleNormal="80" zoomScaleSheetLayoutView="80" zoomScalePageLayoutView="110" workbookViewId="0">
      <selection activeCell="C3" sqref="C3"/>
    </sheetView>
  </sheetViews>
  <sheetFormatPr defaultColWidth="8.85546875" defaultRowHeight="15" x14ac:dyDescent="0.25"/>
  <cols>
    <col min="1" max="1" width="4.140625" style="4" customWidth="1"/>
    <col min="2" max="2" width="49" style="3" customWidth="1"/>
    <col min="3" max="3" width="36.7109375" style="3" customWidth="1"/>
    <col min="4" max="4" width="8.42578125" style="2" customWidth="1"/>
    <col min="5" max="5" width="8.42578125" style="1" customWidth="1"/>
    <col min="6" max="6" width="5.42578125" style="1" hidden="1" customWidth="1"/>
    <col min="7" max="7" width="9.140625" hidden="1" customWidth="1"/>
    <col min="8" max="8" width="16.85546875" hidden="1" customWidth="1"/>
    <col min="9" max="9" width="9" customWidth="1"/>
    <col min="12" max="12" width="10" bestFit="1" customWidth="1"/>
    <col min="14" max="14" width="10" bestFit="1" customWidth="1"/>
  </cols>
  <sheetData>
    <row r="1" spans="1:9" ht="45.75" customHeight="1" x14ac:dyDescent="0.25">
      <c r="A1" s="67" t="s">
        <v>10</v>
      </c>
      <c r="B1" s="68"/>
      <c r="C1" s="68"/>
      <c r="D1" s="68"/>
      <c r="E1" s="11"/>
      <c r="F1" s="9"/>
    </row>
    <row r="2" spans="1:9" ht="15" customHeight="1" x14ac:dyDescent="0.25">
      <c r="A2" s="12"/>
      <c r="B2" s="31" t="s">
        <v>0</v>
      </c>
      <c r="C2" s="17" t="s">
        <v>44</v>
      </c>
      <c r="D2" s="63" t="s">
        <v>1</v>
      </c>
      <c r="E2" s="64"/>
      <c r="F2" s="8"/>
    </row>
    <row r="3" spans="1:9" ht="15" customHeight="1" x14ac:dyDescent="0.25">
      <c r="A3" s="12"/>
      <c r="B3" s="31" t="s">
        <v>2</v>
      </c>
      <c r="C3" s="18"/>
      <c r="D3" s="65"/>
      <c r="E3" s="65"/>
      <c r="F3" s="7">
        <v>3</v>
      </c>
      <c r="G3">
        <f>IF(LEFT(D3,1)="j",1,IF(LEFT(D3,1)="d",2,0))</f>
        <v>0</v>
      </c>
      <c r="H3">
        <f>G3</f>
        <v>0</v>
      </c>
      <c r="I3" s="7"/>
    </row>
    <row r="4" spans="1:9" ht="15" customHeight="1" x14ac:dyDescent="0.25">
      <c r="A4" s="12"/>
      <c r="B4" s="31" t="s">
        <v>3</v>
      </c>
      <c r="C4" s="19"/>
      <c r="D4" s="5">
        <f>SUM(D8:D15,D17:D21,D23:D29,D31:D34,D36:D38,D40:D43,D45:D46)</f>
        <v>120</v>
      </c>
      <c r="E4" s="5">
        <f>SUM(E8:E46)</f>
        <v>0</v>
      </c>
      <c r="F4" s="2"/>
    </row>
    <row r="5" spans="1:9" x14ac:dyDescent="0.25">
      <c r="A5" s="12"/>
      <c r="B5" s="32" t="s">
        <v>4</v>
      </c>
      <c r="C5" s="10" t="str">
        <f>H50</f>
        <v>00-0000-0000-0120</v>
      </c>
      <c r="D5" s="20" t="s">
        <v>5</v>
      </c>
      <c r="E5" s="20" t="s">
        <v>6</v>
      </c>
      <c r="F5" s="7"/>
    </row>
    <row r="6" spans="1:9" x14ac:dyDescent="0.25">
      <c r="A6" s="29"/>
      <c r="B6" s="33"/>
      <c r="C6" s="30" t="s">
        <v>9</v>
      </c>
      <c r="D6" s="65"/>
      <c r="E6" s="65"/>
      <c r="F6" s="7">
        <v>6</v>
      </c>
      <c r="G6">
        <f>IF(LEFT(D6,2)="MS",1,IF(LEFT(D6,2)="My",2,IF(LEFT(D6,2)="Ja",3,IF(LEFT(D6,2)="Qu",4,IF(LEFT(D6,2)="Ot",5,0)))))</f>
        <v>0</v>
      </c>
      <c r="H6">
        <f>G6*PRODUCT($F$3:F5)</f>
        <v>0</v>
      </c>
    </row>
    <row r="7" spans="1:9" x14ac:dyDescent="0.25">
      <c r="A7" s="61" t="s">
        <v>7</v>
      </c>
      <c r="B7" s="61"/>
      <c r="C7" s="61"/>
      <c r="D7" s="61"/>
      <c r="E7" s="62"/>
      <c r="F7" s="21"/>
      <c r="G7" s="14"/>
      <c r="H7" s="14"/>
    </row>
    <row r="8" spans="1:9" ht="47.45" customHeight="1" x14ac:dyDescent="0.25">
      <c r="A8" s="22">
        <v>1.1000000000000001</v>
      </c>
      <c r="B8" s="69" t="s">
        <v>11</v>
      </c>
      <c r="C8" s="70"/>
      <c r="D8" s="34">
        <v>3</v>
      </c>
      <c r="E8" s="36"/>
      <c r="F8" s="23"/>
      <c r="G8" s="14"/>
      <c r="H8" s="14"/>
    </row>
    <row r="9" spans="1:9" ht="77.25" customHeight="1" x14ac:dyDescent="0.25">
      <c r="A9" s="22">
        <v>1.2</v>
      </c>
      <c r="B9" s="51" t="s">
        <v>30</v>
      </c>
      <c r="C9" s="51"/>
      <c r="D9" s="34">
        <v>3</v>
      </c>
      <c r="E9" s="36"/>
      <c r="F9" s="23"/>
      <c r="G9" s="14"/>
      <c r="H9" s="14"/>
    </row>
    <row r="10" spans="1:9" ht="51" customHeight="1" x14ac:dyDescent="0.25">
      <c r="A10" s="22">
        <v>1.3</v>
      </c>
      <c r="B10" s="60" t="s">
        <v>27</v>
      </c>
      <c r="C10" s="51"/>
      <c r="D10" s="34">
        <v>4</v>
      </c>
      <c r="E10" s="36"/>
      <c r="F10" s="23"/>
      <c r="G10" s="14"/>
      <c r="H10" s="14"/>
    </row>
    <row r="11" spans="1:9" ht="63" customHeight="1" x14ac:dyDescent="0.25">
      <c r="A11" s="22">
        <v>1.4</v>
      </c>
      <c r="B11" s="51" t="s">
        <v>28</v>
      </c>
      <c r="C11" s="51"/>
      <c r="D11" s="34">
        <v>4</v>
      </c>
      <c r="E11" s="36"/>
      <c r="F11" s="23"/>
      <c r="G11" s="14"/>
      <c r="H11" s="14"/>
    </row>
    <row r="12" spans="1:9" s="15" customFormat="1" ht="93" customHeight="1" x14ac:dyDescent="0.25">
      <c r="A12" s="24">
        <v>1.5</v>
      </c>
      <c r="B12" s="66" t="s">
        <v>32</v>
      </c>
      <c r="C12" s="66"/>
      <c r="D12" s="35">
        <v>5</v>
      </c>
      <c r="E12" s="36"/>
      <c r="F12" s="25"/>
      <c r="G12" s="26"/>
      <c r="H12" s="26"/>
    </row>
    <row r="13" spans="1:9" ht="81.75" customHeight="1" x14ac:dyDescent="0.25">
      <c r="A13" s="22">
        <v>1.6</v>
      </c>
      <c r="B13" s="51" t="s">
        <v>29</v>
      </c>
      <c r="C13" s="51"/>
      <c r="D13" s="34">
        <v>6</v>
      </c>
      <c r="E13" s="36"/>
      <c r="F13" s="23"/>
      <c r="G13" s="14"/>
      <c r="H13" s="14"/>
    </row>
    <row r="14" spans="1:9" ht="81" customHeight="1" x14ac:dyDescent="0.25">
      <c r="A14" s="22">
        <v>1.7</v>
      </c>
      <c r="B14" s="60" t="s">
        <v>31</v>
      </c>
      <c r="C14" s="51"/>
      <c r="D14" s="34">
        <v>9</v>
      </c>
      <c r="E14" s="36"/>
      <c r="F14" s="23"/>
      <c r="G14" s="14"/>
      <c r="H14" s="14"/>
    </row>
    <row r="15" spans="1:9" ht="36" customHeight="1" x14ac:dyDescent="0.25">
      <c r="A15" s="22">
        <v>1.8</v>
      </c>
      <c r="B15" s="60" t="s">
        <v>12</v>
      </c>
      <c r="C15" s="51"/>
      <c r="D15" s="34">
        <v>6</v>
      </c>
      <c r="E15" s="36"/>
      <c r="F15" s="23">
        <f>SUM(D8:D15)+1</f>
        <v>41</v>
      </c>
      <c r="G15" s="14">
        <f>SUM(E8:E15)</f>
        <v>0</v>
      </c>
      <c r="H15" s="14">
        <f>G15*PRODUCT(F$3:F14)</f>
        <v>0</v>
      </c>
    </row>
    <row r="16" spans="1:9" ht="15" customHeight="1" x14ac:dyDescent="0.25">
      <c r="A16" s="61" t="s">
        <v>8</v>
      </c>
      <c r="B16" s="61"/>
      <c r="C16" s="61"/>
      <c r="D16" s="61"/>
      <c r="E16" s="62"/>
      <c r="F16" s="13"/>
      <c r="G16" s="14"/>
      <c r="H16" s="14"/>
    </row>
    <row r="17" spans="1:16" s="16" customFormat="1" ht="15" customHeight="1" x14ac:dyDescent="0.25">
      <c r="A17" s="27">
        <v>2.1</v>
      </c>
      <c r="B17" s="56" t="s">
        <v>13</v>
      </c>
      <c r="C17" s="53"/>
      <c r="D17" s="34">
        <v>1</v>
      </c>
      <c r="E17" s="36"/>
      <c r="F17" s="28"/>
      <c r="G17" s="28"/>
      <c r="H17" s="28"/>
    </row>
    <row r="18" spans="1:16" ht="15.95" customHeight="1" x14ac:dyDescent="0.25">
      <c r="A18" s="22">
        <v>2.2000000000000002</v>
      </c>
      <c r="B18" s="43" t="s">
        <v>14</v>
      </c>
      <c r="C18" s="44"/>
      <c r="D18" s="34">
        <v>3</v>
      </c>
      <c r="E18" s="36"/>
      <c r="F18" s="23"/>
      <c r="G18" s="14"/>
      <c r="H18" s="14"/>
    </row>
    <row r="19" spans="1:16" ht="30.75" customHeight="1" x14ac:dyDescent="0.25">
      <c r="A19" s="22">
        <v>2.2999999999999998</v>
      </c>
      <c r="B19" s="43" t="s">
        <v>16</v>
      </c>
      <c r="C19" s="44"/>
      <c r="D19" s="34">
        <v>3</v>
      </c>
      <c r="E19" s="36"/>
      <c r="F19" s="23"/>
      <c r="G19" s="14"/>
      <c r="H19" s="14"/>
    </row>
    <row r="20" spans="1:16" ht="30" customHeight="1" x14ac:dyDescent="0.25">
      <c r="A20" s="22">
        <v>2.4</v>
      </c>
      <c r="B20" s="41" t="s">
        <v>33</v>
      </c>
      <c r="C20" s="45"/>
      <c r="D20" s="34">
        <v>1</v>
      </c>
      <c r="E20" s="36"/>
      <c r="F20" s="23"/>
      <c r="G20" s="14"/>
      <c r="H20" s="14"/>
    </row>
    <row r="21" spans="1:16" ht="30" customHeight="1" x14ac:dyDescent="0.25">
      <c r="A21" s="22">
        <v>2.5</v>
      </c>
      <c r="B21" s="41" t="s">
        <v>15</v>
      </c>
      <c r="C21" s="45"/>
      <c r="D21" s="34">
        <v>2</v>
      </c>
      <c r="E21" s="36"/>
      <c r="F21" s="23">
        <f>SUM(D17:D21)+1</f>
        <v>11</v>
      </c>
      <c r="G21" s="23">
        <f>SUM(E17:E21)</f>
        <v>0</v>
      </c>
      <c r="H21" s="14">
        <f>G21*PRODUCT(F$3:F20)</f>
        <v>0</v>
      </c>
    </row>
    <row r="22" spans="1:16" ht="15" customHeight="1" x14ac:dyDescent="0.25">
      <c r="A22" s="48"/>
      <c r="B22" s="49"/>
      <c r="C22" s="49"/>
      <c r="D22" s="49"/>
      <c r="E22" s="50"/>
      <c r="F22" s="6"/>
    </row>
    <row r="23" spans="1:16" ht="15" customHeight="1" x14ac:dyDescent="0.25">
      <c r="A23" s="22">
        <v>3.1</v>
      </c>
      <c r="B23" s="46" t="s">
        <v>17</v>
      </c>
      <c r="C23" s="47"/>
      <c r="D23" s="34">
        <v>1</v>
      </c>
      <c r="E23" s="37"/>
    </row>
    <row r="24" spans="1:16" ht="48" customHeight="1" x14ac:dyDescent="0.25">
      <c r="A24" s="22">
        <v>3.2</v>
      </c>
      <c r="B24" s="43" t="s">
        <v>37</v>
      </c>
      <c r="C24" s="44"/>
      <c r="D24" s="34">
        <v>3</v>
      </c>
      <c r="E24" s="37"/>
    </row>
    <row r="25" spans="1:16" ht="32.25" customHeight="1" x14ac:dyDescent="0.25">
      <c r="A25" s="22">
        <v>3.3</v>
      </c>
      <c r="B25" s="53" t="s">
        <v>35</v>
      </c>
      <c r="C25" s="53"/>
      <c r="D25" s="34">
        <v>3</v>
      </c>
      <c r="E25" s="37"/>
      <c r="O25" s="41"/>
      <c r="P25" s="41"/>
    </row>
    <row r="26" spans="1:16" ht="33.75" customHeight="1" x14ac:dyDescent="0.25">
      <c r="A26" s="22">
        <v>3.4</v>
      </c>
      <c r="B26" s="53" t="s">
        <v>34</v>
      </c>
      <c r="C26" s="53"/>
      <c r="D26" s="34">
        <v>3</v>
      </c>
      <c r="E26" s="37"/>
      <c r="O26" s="38"/>
      <c r="P26" s="38"/>
    </row>
    <row r="27" spans="1:16" ht="59.25" customHeight="1" x14ac:dyDescent="0.25">
      <c r="A27" s="22">
        <v>3.5</v>
      </c>
      <c r="B27" s="53" t="s">
        <v>38</v>
      </c>
      <c r="C27" s="53"/>
      <c r="D27" s="34">
        <v>3</v>
      </c>
      <c r="E27" s="37"/>
      <c r="O27" s="38"/>
      <c r="P27" s="38"/>
    </row>
    <row r="28" spans="1:16" ht="32.25" customHeight="1" x14ac:dyDescent="0.25">
      <c r="A28" s="22">
        <v>3.6</v>
      </c>
      <c r="B28" s="41" t="s">
        <v>36</v>
      </c>
      <c r="C28" s="45"/>
      <c r="D28" s="34">
        <v>1</v>
      </c>
      <c r="E28" s="37"/>
    </row>
    <row r="29" spans="1:16" ht="50.25" customHeight="1" x14ac:dyDescent="0.25">
      <c r="A29" s="22">
        <v>3.7</v>
      </c>
      <c r="B29" s="53" t="s">
        <v>39</v>
      </c>
      <c r="C29" s="53"/>
      <c r="D29" s="34">
        <v>3</v>
      </c>
      <c r="E29" s="37"/>
      <c r="F29" s="23">
        <f>SUM(D23:D29)+1</f>
        <v>18</v>
      </c>
      <c r="G29" s="14">
        <f>SUM(E23:E29)</f>
        <v>0</v>
      </c>
      <c r="H29" s="14">
        <f>G29*PRODUCT(F$3:F28)</f>
        <v>0</v>
      </c>
    </row>
    <row r="30" spans="1:16" ht="15" customHeight="1" x14ac:dyDescent="0.25">
      <c r="A30" s="42"/>
      <c r="B30" s="42"/>
      <c r="C30" s="42"/>
      <c r="D30" s="42"/>
      <c r="E30" s="42"/>
      <c r="F30" s="6"/>
    </row>
    <row r="31" spans="1:16" ht="15" customHeight="1" x14ac:dyDescent="0.25">
      <c r="A31" s="22">
        <v>4.0999999999999996</v>
      </c>
      <c r="B31" s="51" t="s">
        <v>21</v>
      </c>
      <c r="C31" s="51"/>
      <c r="D31" s="34">
        <v>1</v>
      </c>
      <c r="E31" s="37"/>
    </row>
    <row r="32" spans="1:16" ht="47.25" customHeight="1" x14ac:dyDescent="0.25">
      <c r="A32" s="22">
        <v>4.2</v>
      </c>
      <c r="B32" s="52" t="s">
        <v>18</v>
      </c>
      <c r="C32" s="52"/>
      <c r="D32" s="34">
        <v>5</v>
      </c>
      <c r="E32" s="37"/>
    </row>
    <row r="33" spans="1:8" ht="78" customHeight="1" x14ac:dyDescent="0.25">
      <c r="A33" s="22">
        <v>4.3</v>
      </c>
      <c r="B33" s="52" t="s">
        <v>23</v>
      </c>
      <c r="C33" s="52"/>
      <c r="D33" s="34">
        <v>13</v>
      </c>
      <c r="E33" s="37"/>
    </row>
    <row r="34" spans="1:8" ht="38.25" customHeight="1" x14ac:dyDescent="0.25">
      <c r="A34" s="22">
        <v>4.4000000000000004</v>
      </c>
      <c r="B34" s="53" t="s">
        <v>19</v>
      </c>
      <c r="C34" s="53"/>
      <c r="D34" s="34">
        <v>5</v>
      </c>
      <c r="E34" s="37"/>
      <c r="F34" s="1">
        <f>SUM(D31:D34)+1</f>
        <v>25</v>
      </c>
      <c r="G34" s="1">
        <f>SUM(E31:E34)</f>
        <v>0</v>
      </c>
      <c r="H34" s="14">
        <f>G34*PRODUCT(F$3:F33)</f>
        <v>0</v>
      </c>
    </row>
    <row r="35" spans="1:8" ht="15" customHeight="1" x14ac:dyDescent="0.25">
      <c r="A35" s="42"/>
      <c r="B35" s="42"/>
      <c r="C35" s="42"/>
      <c r="D35" s="42"/>
      <c r="E35" s="42"/>
      <c r="F35" s="6"/>
    </row>
    <row r="36" spans="1:8" ht="15" customHeight="1" x14ac:dyDescent="0.25">
      <c r="A36" s="22">
        <v>5.0999999999999996</v>
      </c>
      <c r="B36" s="51" t="s">
        <v>20</v>
      </c>
      <c r="C36" s="51"/>
      <c r="D36" s="34">
        <v>1</v>
      </c>
      <c r="E36" s="37"/>
    </row>
    <row r="37" spans="1:8" x14ac:dyDescent="0.25">
      <c r="A37" s="22">
        <v>5.2</v>
      </c>
      <c r="B37" s="54" t="s">
        <v>22</v>
      </c>
      <c r="C37" s="55"/>
      <c r="D37" s="34">
        <v>1</v>
      </c>
      <c r="E37" s="37"/>
    </row>
    <row r="38" spans="1:8" x14ac:dyDescent="0.25">
      <c r="A38" s="22">
        <v>5.3</v>
      </c>
      <c r="B38" s="51" t="s">
        <v>24</v>
      </c>
      <c r="C38" s="51"/>
      <c r="D38" s="34">
        <v>1</v>
      </c>
      <c r="E38" s="37"/>
      <c r="F38" s="1">
        <f>SUM(D36:D38)+1</f>
        <v>4</v>
      </c>
      <c r="G38">
        <f>SUM(E36:E38)</f>
        <v>0</v>
      </c>
      <c r="H38">
        <f>G38*PRODUCT(F$3:F37)</f>
        <v>0</v>
      </c>
    </row>
    <row r="39" spans="1:8" ht="15" customHeight="1" x14ac:dyDescent="0.25">
      <c r="A39" s="57"/>
      <c r="B39" s="58"/>
      <c r="C39" s="58"/>
      <c r="D39" s="58"/>
      <c r="E39" s="59"/>
    </row>
    <row r="40" spans="1:8" ht="15" customHeight="1" x14ac:dyDescent="0.25">
      <c r="A40" s="22">
        <v>6.1</v>
      </c>
      <c r="B40" s="56" t="s">
        <v>26</v>
      </c>
      <c r="C40" s="53"/>
      <c r="D40" s="34">
        <v>1</v>
      </c>
      <c r="E40" s="37"/>
    </row>
    <row r="41" spans="1:8" ht="47.25" customHeight="1" x14ac:dyDescent="0.25">
      <c r="A41" s="22">
        <v>6.2</v>
      </c>
      <c r="B41" s="43" t="s">
        <v>40</v>
      </c>
      <c r="C41" s="44"/>
      <c r="D41" s="34">
        <v>3</v>
      </c>
      <c r="E41" s="37"/>
    </row>
    <row r="42" spans="1:8" ht="63.75" customHeight="1" x14ac:dyDescent="0.25">
      <c r="A42" s="22">
        <v>6.3</v>
      </c>
      <c r="B42" s="43" t="s">
        <v>42</v>
      </c>
      <c r="C42" s="44"/>
      <c r="D42" s="34">
        <v>4</v>
      </c>
      <c r="E42" s="37"/>
    </row>
    <row r="43" spans="1:8" ht="47.25" customHeight="1" x14ac:dyDescent="0.25">
      <c r="A43" s="22">
        <v>6.4</v>
      </c>
      <c r="B43" s="41" t="s">
        <v>41</v>
      </c>
      <c r="C43" s="45"/>
      <c r="D43" s="34">
        <v>5</v>
      </c>
      <c r="E43" s="37"/>
      <c r="F43" s="1">
        <f>SUM(D40:D43)+1</f>
        <v>14</v>
      </c>
      <c r="G43" s="1">
        <f>SUM(E40:E43)</f>
        <v>0</v>
      </c>
      <c r="H43">
        <f>G43*PRODUCT(F$3:F42)</f>
        <v>0</v>
      </c>
    </row>
    <row r="44" spans="1:8" ht="15" customHeight="1" x14ac:dyDescent="0.25">
      <c r="A44" s="42"/>
      <c r="B44" s="42"/>
      <c r="C44" s="42"/>
      <c r="D44" s="42"/>
      <c r="E44" s="42"/>
      <c r="F44" s="6"/>
    </row>
    <row r="45" spans="1:8" ht="228.75" customHeight="1" x14ac:dyDescent="0.25">
      <c r="A45" s="39">
        <v>7.1</v>
      </c>
      <c r="B45" s="51" t="s">
        <v>43</v>
      </c>
      <c r="C45" s="51"/>
      <c r="D45" s="34">
        <v>12</v>
      </c>
      <c r="E45" s="37"/>
    </row>
    <row r="46" spans="1:8" ht="15" customHeight="1" x14ac:dyDescent="0.25">
      <c r="A46" s="40">
        <v>7.2</v>
      </c>
      <c r="B46" s="51" t="s">
        <v>25</v>
      </c>
      <c r="C46" s="51"/>
      <c r="D46" s="34">
        <v>1</v>
      </c>
      <c r="E46" s="37"/>
      <c r="F46" s="1">
        <f>SUM(D45:D46)+1</f>
        <v>14</v>
      </c>
      <c r="G46">
        <f>SUM(E45:E46)</f>
        <v>0</v>
      </c>
      <c r="H46">
        <f>G46*PRODUCT(F$3:F45)</f>
        <v>0</v>
      </c>
    </row>
    <row r="49" spans="8:8" x14ac:dyDescent="0.25">
      <c r="H49" t="str">
        <f>RIGHT(REPT("0",14)&amp;SUM(H3:H46)&amp;RIGHT(REPT("0",3)&amp;(120-E4),3),14)</f>
        <v>00000000000120</v>
      </c>
    </row>
    <row r="50" spans="8:8" x14ac:dyDescent="0.25">
      <c r="H50" t="str">
        <f>MID(H49,1,2)&amp;"-"&amp;MID(H49,3,4)&amp;"-"&amp;MID(H49,7,4)&amp;"-"&amp;MID(H49,11,4)</f>
        <v>00-0000-0000-0120</v>
      </c>
    </row>
  </sheetData>
  <sheetProtection algorithmName="SHA-512" hashValue="4uxWpcOymA4XOhlIvGyFLRBJz/P7sBI06iCNuQFYDUWGfAe487dSCNVgCsMNnemMn/KHl5tgpsh1lf8n45rHsw==" saltValue="W3BFpdCsC6HFoPwZUb6p1Q==" spinCount="100000" sheet="1" selectLockedCells="1"/>
  <mergeCells count="45">
    <mergeCell ref="A1:D1"/>
    <mergeCell ref="A7:E7"/>
    <mergeCell ref="B8:C8"/>
    <mergeCell ref="B9:C9"/>
    <mergeCell ref="B10:C10"/>
    <mergeCell ref="D6:E6"/>
    <mergeCell ref="B13:C13"/>
    <mergeCell ref="B28:C28"/>
    <mergeCell ref="B14:C14"/>
    <mergeCell ref="A16:E16"/>
    <mergeCell ref="D2:E2"/>
    <mergeCell ref="D3:E3"/>
    <mergeCell ref="B11:C11"/>
    <mergeCell ref="B15:C15"/>
    <mergeCell ref="B12:C12"/>
    <mergeCell ref="B32:C32"/>
    <mergeCell ref="B17:C17"/>
    <mergeCell ref="B18:C18"/>
    <mergeCell ref="B25:C25"/>
    <mergeCell ref="B29:C29"/>
    <mergeCell ref="B27:C27"/>
    <mergeCell ref="B26:C26"/>
    <mergeCell ref="B31:C31"/>
    <mergeCell ref="B24:C24"/>
    <mergeCell ref="B46:C46"/>
    <mergeCell ref="B45:C45"/>
    <mergeCell ref="A44:E44"/>
    <mergeCell ref="B36:C36"/>
    <mergeCell ref="B33:C33"/>
    <mergeCell ref="B38:C38"/>
    <mergeCell ref="B34:C34"/>
    <mergeCell ref="B37:C37"/>
    <mergeCell ref="A35:E35"/>
    <mergeCell ref="B40:C40"/>
    <mergeCell ref="B41:C41"/>
    <mergeCell ref="B42:C42"/>
    <mergeCell ref="B43:C43"/>
    <mergeCell ref="A39:E39"/>
    <mergeCell ref="O25:P25"/>
    <mergeCell ref="A30:E30"/>
    <mergeCell ref="B19:C19"/>
    <mergeCell ref="B21:C21"/>
    <mergeCell ref="B20:C20"/>
    <mergeCell ref="B23:C23"/>
    <mergeCell ref="A22:E22"/>
  </mergeCells>
  <conditionalFormatting sqref="F46:H46">
    <cfRule type="cellIs" dxfId="4" priority="10" operator="equal">
      <formula>""</formula>
    </cfRule>
  </conditionalFormatting>
  <conditionalFormatting sqref="C3:C4 D3:E3 E8:E15 E17:E21 E31:E34 E36:E38 E45 E23:E29">
    <cfRule type="cellIs" dxfId="3" priority="5" operator="equal">
      <formula>""</formula>
    </cfRule>
  </conditionalFormatting>
  <conditionalFormatting sqref="E46">
    <cfRule type="cellIs" dxfId="2" priority="3" operator="equal">
      <formula>""</formula>
    </cfRule>
  </conditionalFormatting>
  <conditionalFormatting sqref="D6:E6">
    <cfRule type="cellIs" dxfId="1" priority="2" operator="equal">
      <formula>""</formula>
    </cfRule>
  </conditionalFormatting>
  <conditionalFormatting sqref="E40:E43">
    <cfRule type="cellIs" dxfId="0" priority="1" operator="equal">
      <formula>""</formula>
    </cfRule>
  </conditionalFormatting>
  <dataValidations count="3">
    <dataValidation type="list" allowBlank="1" showInputMessage="1" showErrorMessage="1" sqref="D3:E3">
      <formula1>"Java,Delphi"</formula1>
    </dataValidation>
    <dataValidation type="whole" allowBlank="1" showInputMessage="1" showErrorMessage="1" errorTitle="Invalid Input" error="You have entered a value less than zero or greater than the total number of marks for this question" sqref="E31:E34 E45:E46 E8:E15 E23:E29 E17:E21 E36:E38 E40:E43">
      <formula1>0</formula1>
      <formula2>D8</formula2>
    </dataValidation>
    <dataValidation type="list" allowBlank="1" showInputMessage="1" showErrorMessage="1" sqref="D6:E6">
      <formula1>"MS Access, MySQL, JavaDB, Query Tool, Other"</formula1>
    </dataValidation>
  </dataValidations>
  <pageMargins left="0.51181102362204722" right="0.23622047244094491" top="0.59055118110236227" bottom="0.74803149606299213" header="0.27559055118110237" footer="0.31496062992125984"/>
  <pageSetup paperSize="9" scale="77" fitToHeight="2" orientation="portrait" r:id="rId1"/>
  <headerFooter>
    <oddHeader>&amp;L&amp;"Times New Roman,Regular"&amp;8NATIONAL SENIOR CERTIFICATE: INFORMATION TECHNOLOGY: PRACTICAL EXAMINATION – MARK SHEET&amp;"-,Regular"
&amp;R&amp;"Times New Roman,Regular"&amp;10Page &amp;P of 2</oddHeader>
    <oddFooter>&amp;L&amp;"Times New Roman,Regular"&amp;8IEB Copyright © 2016</oddFooter>
  </headerFooter>
  <rowBreaks count="1" manualBreakCount="1">
    <brk id="2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Candidate1</vt:lpstr>
      <vt:lpstr>Candidate1!Print_Area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PhiNor</dc:creator>
  <cp:lastModifiedBy>domgru</cp:lastModifiedBy>
  <cp:lastPrinted>2017-10-25T19:55:32Z</cp:lastPrinted>
  <dcterms:created xsi:type="dcterms:W3CDTF">2012-01-29T14:32:36Z</dcterms:created>
  <dcterms:modified xsi:type="dcterms:W3CDTF">2017-10-26T15:26:37Z</dcterms:modified>
</cp:coreProperties>
</file>